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0384-ppfss01\shared_projects\184031982\6.0 Studies and Reports\Task_02_Real_Time_Assessment\DSM2_real_time_support\input_examples\20251230DSM2InputData\"/>
    </mc:Choice>
  </mc:AlternateContent>
  <xr:revisionPtr revIDLastSave="0" documentId="13_ncr:1_{B47B1D2A-6EB7-4931-8579-35C5A60C407F}" xr6:coauthVersionLast="47" xr6:coauthVersionMax="47" xr10:uidLastSave="{00000000-0000-0000-0000-000000000000}"/>
  <bookViews>
    <workbookView xWindow="-96" yWindow="-96" windowWidth="23232" windowHeight="13872" tabRatio="812" xr2:uid="{07475B08-0D99-490C-B51C-831472BE29DB}"/>
  </bookViews>
  <sheets>
    <sheet name="plot_example" sheetId="2" r:id="rId1"/>
    <sheet name="01_05_OMRI -2000" sheetId="6" r:id="rId2"/>
    <sheet name="01_05_OMRI -3500" sheetId="4" r:id="rId3"/>
    <sheet name="01_05_OMRI -5000" sheetId="5" r:id="rId4"/>
    <sheet name="01_05_OMRI -6250" sheetId="3" r:id="rId5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2" l="1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3" i="2"/>
  <c r="AF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3" i="2"/>
  <c r="AC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W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T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N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K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2"/>
  <c r="C6" i="2" l="1"/>
  <c r="D11" i="2"/>
  <c r="D12" i="2"/>
  <c r="D13" i="2"/>
  <c r="D15" i="2"/>
  <c r="D16" i="2"/>
  <c r="D17" i="2"/>
  <c r="D18" i="2"/>
  <c r="D20" i="2"/>
  <c r="D21" i="2"/>
  <c r="D22" i="2"/>
  <c r="D23" i="2"/>
  <c r="D24" i="2"/>
  <c r="C8" i="2"/>
  <c r="D8" i="2" s="1"/>
  <c r="C3" i="2"/>
  <c r="A4" i="2"/>
  <c r="A5" i="2" s="1"/>
  <c r="A6" i="2" s="1"/>
  <c r="A7" i="2" s="1"/>
  <c r="A8" i="2" s="1"/>
  <c r="A9" i="2" s="1"/>
  <c r="F3" i="2"/>
  <c r="I3" i="2"/>
  <c r="L3" i="2"/>
  <c r="O3" i="2"/>
  <c r="R3" i="2"/>
  <c r="U3" i="2"/>
  <c r="X3" i="2"/>
  <c r="AA3" i="2"/>
  <c r="AD3" i="2"/>
  <c r="AG3" i="2"/>
  <c r="AJ3" i="2"/>
  <c r="AM3" i="2"/>
  <c r="AP3" i="2"/>
  <c r="AS3" i="2"/>
  <c r="AT3" i="2"/>
  <c r="AU3" i="2"/>
  <c r="AV3" i="2"/>
  <c r="C4" i="2"/>
  <c r="F4" i="2"/>
  <c r="I4" i="2"/>
  <c r="L4" i="2"/>
  <c r="O4" i="2"/>
  <c r="R4" i="2"/>
  <c r="U4" i="2"/>
  <c r="X4" i="2"/>
  <c r="AA4" i="2"/>
  <c r="AD4" i="2"/>
  <c r="AG4" i="2"/>
  <c r="AJ4" i="2"/>
  <c r="AM4" i="2"/>
  <c r="AP4" i="2"/>
  <c r="AS4" i="2"/>
  <c r="AT4" i="2"/>
  <c r="AU4" i="2"/>
  <c r="AV4" i="2"/>
  <c r="C5" i="2"/>
  <c r="F5" i="2"/>
  <c r="I5" i="2"/>
  <c r="L5" i="2"/>
  <c r="O5" i="2"/>
  <c r="R5" i="2"/>
  <c r="U5" i="2"/>
  <c r="X5" i="2"/>
  <c r="AA5" i="2"/>
  <c r="AD5" i="2"/>
  <c r="AG5" i="2"/>
  <c r="AJ5" i="2"/>
  <c r="AM5" i="2"/>
  <c r="AP5" i="2"/>
  <c r="AS5" i="2"/>
  <c r="AT5" i="2"/>
  <c r="AU5" i="2"/>
  <c r="AV5" i="2"/>
  <c r="F6" i="2"/>
  <c r="I6" i="2"/>
  <c r="L6" i="2"/>
  <c r="O6" i="2"/>
  <c r="R6" i="2"/>
  <c r="U6" i="2"/>
  <c r="X6" i="2"/>
  <c r="AA6" i="2"/>
  <c r="AD6" i="2"/>
  <c r="AG6" i="2"/>
  <c r="AJ6" i="2"/>
  <c r="AM6" i="2"/>
  <c r="AP6" i="2"/>
  <c r="AS6" i="2"/>
  <c r="AT6" i="2"/>
  <c r="AU6" i="2"/>
  <c r="AV6" i="2"/>
  <c r="C7" i="2"/>
  <c r="F7" i="2"/>
  <c r="I7" i="2"/>
  <c r="L7" i="2"/>
  <c r="O7" i="2"/>
  <c r="R7" i="2"/>
  <c r="U7" i="2"/>
  <c r="X7" i="2"/>
  <c r="AA7" i="2"/>
  <c r="AD7" i="2"/>
  <c r="AG7" i="2"/>
  <c r="AJ7" i="2"/>
  <c r="AM7" i="2"/>
  <c r="AP7" i="2"/>
  <c r="AS7" i="2"/>
  <c r="AT7" i="2"/>
  <c r="AU7" i="2"/>
  <c r="AV7" i="2"/>
  <c r="F8" i="2"/>
  <c r="I8" i="2"/>
  <c r="J8" i="2"/>
  <c r="L8" i="2"/>
  <c r="M8" i="2"/>
  <c r="O8" i="2"/>
  <c r="P8" i="2"/>
  <c r="R8" i="2"/>
  <c r="S8" i="2"/>
  <c r="U8" i="2"/>
  <c r="V8" i="2"/>
  <c r="X8" i="2"/>
  <c r="Y8" i="2"/>
  <c r="AA8" i="2"/>
  <c r="AB8" i="2"/>
  <c r="AD8" i="2"/>
  <c r="AE8" i="2"/>
  <c r="AG8" i="2"/>
  <c r="AH8" i="2"/>
  <c r="AJ8" i="2"/>
  <c r="AK8" i="2"/>
  <c r="AM8" i="2"/>
  <c r="AN8" i="2"/>
  <c r="AP8" i="2"/>
  <c r="AQ8" i="2"/>
  <c r="AS8" i="2"/>
  <c r="AT8" i="2"/>
  <c r="AU8" i="2"/>
  <c r="AV8" i="2"/>
  <c r="D9" i="2"/>
  <c r="G9" i="2"/>
  <c r="J9" i="2"/>
  <c r="M9" i="2"/>
  <c r="P9" i="2"/>
  <c r="S9" i="2"/>
  <c r="V9" i="2"/>
  <c r="Y9" i="2"/>
  <c r="AB9" i="2"/>
  <c r="AE9" i="2"/>
  <c r="AH9" i="2"/>
  <c r="AK9" i="2"/>
  <c r="AN9" i="2"/>
  <c r="AQ9" i="2"/>
  <c r="AS9" i="2"/>
  <c r="AT9" i="2"/>
  <c r="AU9" i="2"/>
  <c r="AV9" i="2"/>
  <c r="D10" i="2"/>
  <c r="G10" i="2"/>
  <c r="J10" i="2"/>
  <c r="M10" i="2"/>
  <c r="P10" i="2"/>
  <c r="S10" i="2"/>
  <c r="V10" i="2"/>
  <c r="Y10" i="2"/>
  <c r="AB10" i="2"/>
  <c r="AE10" i="2"/>
  <c r="AH10" i="2"/>
  <c r="AK10" i="2"/>
  <c r="AN10" i="2"/>
  <c r="AQ10" i="2"/>
  <c r="AS10" i="2"/>
  <c r="AT10" i="2"/>
  <c r="AU10" i="2"/>
  <c r="AV10" i="2"/>
  <c r="G11" i="2"/>
  <c r="J11" i="2"/>
  <c r="M11" i="2"/>
  <c r="P11" i="2"/>
  <c r="S11" i="2"/>
  <c r="V11" i="2"/>
  <c r="Y11" i="2"/>
  <c r="AB11" i="2"/>
  <c r="AE11" i="2"/>
  <c r="AH11" i="2"/>
  <c r="AK11" i="2"/>
  <c r="AN11" i="2"/>
  <c r="AQ11" i="2"/>
  <c r="AS11" i="2"/>
  <c r="AT11" i="2"/>
  <c r="AU11" i="2"/>
  <c r="AV11" i="2"/>
  <c r="G12" i="2"/>
  <c r="J12" i="2"/>
  <c r="M12" i="2"/>
  <c r="P12" i="2"/>
  <c r="S12" i="2"/>
  <c r="V12" i="2"/>
  <c r="Y12" i="2"/>
  <c r="AB12" i="2"/>
  <c r="AE12" i="2"/>
  <c r="AH12" i="2"/>
  <c r="AK12" i="2"/>
  <c r="AN12" i="2"/>
  <c r="AQ12" i="2"/>
  <c r="AS12" i="2"/>
  <c r="AT12" i="2"/>
  <c r="AU12" i="2"/>
  <c r="AV12" i="2"/>
  <c r="G13" i="2"/>
  <c r="J13" i="2"/>
  <c r="M13" i="2"/>
  <c r="P13" i="2"/>
  <c r="S13" i="2"/>
  <c r="V13" i="2"/>
  <c r="Y13" i="2"/>
  <c r="AB13" i="2"/>
  <c r="AE13" i="2"/>
  <c r="AH13" i="2"/>
  <c r="AK13" i="2"/>
  <c r="AN13" i="2"/>
  <c r="AQ13" i="2"/>
  <c r="AS13" i="2"/>
  <c r="AT13" i="2"/>
  <c r="AU13" i="2"/>
  <c r="AV13" i="2"/>
  <c r="D14" i="2"/>
  <c r="G14" i="2"/>
  <c r="J14" i="2"/>
  <c r="M14" i="2"/>
  <c r="P14" i="2"/>
  <c r="S14" i="2"/>
  <c r="V14" i="2"/>
  <c r="Y14" i="2"/>
  <c r="AB14" i="2"/>
  <c r="AE14" i="2"/>
  <c r="AH14" i="2"/>
  <c r="AK14" i="2"/>
  <c r="AN14" i="2"/>
  <c r="AQ14" i="2"/>
  <c r="AS14" i="2"/>
  <c r="AT14" i="2"/>
  <c r="AU14" i="2"/>
  <c r="AV14" i="2"/>
  <c r="G15" i="2"/>
  <c r="J15" i="2"/>
  <c r="M15" i="2"/>
  <c r="P15" i="2"/>
  <c r="S15" i="2"/>
  <c r="V15" i="2"/>
  <c r="Y15" i="2"/>
  <c r="AB15" i="2"/>
  <c r="AE15" i="2"/>
  <c r="AH15" i="2"/>
  <c r="AK15" i="2"/>
  <c r="AN15" i="2"/>
  <c r="AQ15" i="2"/>
  <c r="AS15" i="2"/>
  <c r="AT15" i="2"/>
  <c r="AU15" i="2"/>
  <c r="AV15" i="2"/>
  <c r="G16" i="2"/>
  <c r="J16" i="2"/>
  <c r="M16" i="2"/>
  <c r="P16" i="2"/>
  <c r="S16" i="2"/>
  <c r="V16" i="2"/>
  <c r="Y16" i="2"/>
  <c r="AB16" i="2"/>
  <c r="AE16" i="2"/>
  <c r="AH16" i="2"/>
  <c r="AK16" i="2"/>
  <c r="AN16" i="2"/>
  <c r="AQ16" i="2"/>
  <c r="AS16" i="2"/>
  <c r="AT16" i="2"/>
  <c r="AU16" i="2"/>
  <c r="AV16" i="2"/>
  <c r="G17" i="2"/>
  <c r="J17" i="2"/>
  <c r="M17" i="2"/>
  <c r="P17" i="2"/>
  <c r="S17" i="2"/>
  <c r="V17" i="2"/>
  <c r="Y17" i="2"/>
  <c r="AB17" i="2"/>
  <c r="AE17" i="2"/>
  <c r="AH17" i="2"/>
  <c r="AK17" i="2"/>
  <c r="AN17" i="2"/>
  <c r="AQ17" i="2"/>
  <c r="AS17" i="2"/>
  <c r="AT17" i="2"/>
  <c r="AU17" i="2"/>
  <c r="AV17" i="2"/>
  <c r="G18" i="2"/>
  <c r="J18" i="2"/>
  <c r="M18" i="2"/>
  <c r="P18" i="2"/>
  <c r="S18" i="2"/>
  <c r="V18" i="2"/>
  <c r="Y18" i="2"/>
  <c r="AB18" i="2"/>
  <c r="AE18" i="2"/>
  <c r="AH18" i="2"/>
  <c r="AK18" i="2"/>
  <c r="AN18" i="2"/>
  <c r="AQ18" i="2"/>
  <c r="AS18" i="2"/>
  <c r="AT18" i="2"/>
  <c r="AU18" i="2"/>
  <c r="AV18" i="2"/>
  <c r="D19" i="2"/>
  <c r="G19" i="2"/>
  <c r="J19" i="2"/>
  <c r="M19" i="2"/>
  <c r="P19" i="2"/>
  <c r="S19" i="2"/>
  <c r="V19" i="2"/>
  <c r="Y19" i="2"/>
  <c r="AB19" i="2"/>
  <c r="AE19" i="2"/>
  <c r="AH19" i="2"/>
  <c r="AK19" i="2"/>
  <c r="AN19" i="2"/>
  <c r="AQ19" i="2"/>
  <c r="AS19" i="2"/>
  <c r="AT19" i="2"/>
  <c r="AU19" i="2"/>
  <c r="AV19" i="2"/>
  <c r="G20" i="2"/>
  <c r="J20" i="2"/>
  <c r="M20" i="2"/>
  <c r="P20" i="2"/>
  <c r="S20" i="2"/>
  <c r="V20" i="2"/>
  <c r="Y20" i="2"/>
  <c r="AB20" i="2"/>
  <c r="AE20" i="2"/>
  <c r="AH20" i="2"/>
  <c r="AK20" i="2"/>
  <c r="AN20" i="2"/>
  <c r="AQ20" i="2"/>
  <c r="AS20" i="2"/>
  <c r="AT20" i="2"/>
  <c r="AU20" i="2"/>
  <c r="AV20" i="2"/>
  <c r="G21" i="2"/>
  <c r="J21" i="2"/>
  <c r="M21" i="2"/>
  <c r="P21" i="2"/>
  <c r="S21" i="2"/>
  <c r="V21" i="2"/>
  <c r="Y21" i="2"/>
  <c r="AB21" i="2"/>
  <c r="AE21" i="2"/>
  <c r="AH21" i="2"/>
  <c r="AK21" i="2"/>
  <c r="AN21" i="2"/>
  <c r="AQ21" i="2"/>
  <c r="AS21" i="2"/>
  <c r="AT21" i="2"/>
  <c r="AU21" i="2"/>
  <c r="AV21" i="2"/>
  <c r="G22" i="2"/>
  <c r="J22" i="2"/>
  <c r="M22" i="2"/>
  <c r="P22" i="2"/>
  <c r="S22" i="2"/>
  <c r="V22" i="2"/>
  <c r="Y22" i="2"/>
  <c r="AB22" i="2"/>
  <c r="AE22" i="2"/>
  <c r="AH22" i="2"/>
  <c r="AK22" i="2"/>
  <c r="AN22" i="2"/>
  <c r="AQ22" i="2"/>
  <c r="AS22" i="2"/>
  <c r="AT22" i="2"/>
  <c r="AU22" i="2"/>
  <c r="AV22" i="2"/>
  <c r="G23" i="2"/>
  <c r="J23" i="2"/>
  <c r="M23" i="2"/>
  <c r="P23" i="2"/>
  <c r="S23" i="2"/>
  <c r="V23" i="2"/>
  <c r="Y23" i="2"/>
  <c r="AB23" i="2"/>
  <c r="AE23" i="2"/>
  <c r="AH23" i="2"/>
  <c r="AK23" i="2"/>
  <c r="AN23" i="2"/>
  <c r="AQ23" i="2"/>
  <c r="AS23" i="2"/>
  <c r="AT23" i="2"/>
  <c r="AU23" i="2"/>
  <c r="AV23" i="2"/>
  <c r="G24" i="2"/>
  <c r="J24" i="2"/>
  <c r="M24" i="2"/>
  <c r="P24" i="2"/>
  <c r="S24" i="2"/>
  <c r="V24" i="2"/>
  <c r="Y24" i="2"/>
  <c r="AB24" i="2"/>
  <c r="AE24" i="2"/>
  <c r="AH24" i="2"/>
  <c r="AK24" i="2"/>
  <c r="AN24" i="2"/>
  <c r="AQ24" i="2"/>
  <c r="AS24" i="2"/>
  <c r="AT24" i="2"/>
  <c r="AU24" i="2"/>
  <c r="AV24" i="2"/>
  <c r="K25" i="2"/>
  <c r="N25" i="2"/>
  <c r="U51" i="2" s="1"/>
  <c r="X51" i="2" s="1"/>
  <c r="T25" i="2"/>
  <c r="W25" i="2"/>
  <c r="AC25" i="2"/>
  <c r="AF25" i="2"/>
  <c r="AL25" i="2"/>
  <c r="AO25" i="2"/>
  <c r="V53" i="2"/>
  <c r="V52" i="2"/>
  <c r="V51" i="2"/>
  <c r="V50" i="2"/>
  <c r="U50" i="2"/>
  <c r="V49" i="2"/>
  <c r="U49" i="2"/>
  <c r="X49" i="2" s="1"/>
  <c r="V48" i="2"/>
  <c r="U48" i="2"/>
  <c r="V47" i="2"/>
  <c r="U47" i="2"/>
  <c r="X47" i="2" s="1"/>
  <c r="V46" i="2"/>
  <c r="U46" i="2"/>
  <c r="V45" i="2"/>
  <c r="U45" i="2"/>
  <c r="V44" i="2"/>
  <c r="U44" i="2"/>
  <c r="V43" i="2"/>
  <c r="U43" i="2"/>
  <c r="V42" i="2"/>
  <c r="U42" i="2"/>
  <c r="A10" i="2" l="1"/>
  <c r="S35" i="2"/>
  <c r="X48" i="2"/>
  <c r="X44" i="2"/>
  <c r="X46" i="2"/>
  <c r="G8" i="2"/>
  <c r="V35" i="2"/>
  <c r="W35" i="2" s="1"/>
  <c r="X50" i="2"/>
  <c r="T36" i="2"/>
  <c r="U36" i="2" s="1"/>
  <c r="U52" i="2"/>
  <c r="X52" i="2" s="1"/>
  <c r="X42" i="2"/>
  <c r="U53" i="2"/>
  <c r="X53" i="2" s="1"/>
  <c r="T35" i="2"/>
  <c r="U35" i="2" s="1"/>
  <c r="X35" i="2" s="1"/>
  <c r="W46" i="2"/>
  <c r="Y47" i="2"/>
  <c r="Y49" i="2"/>
  <c r="Y50" i="2"/>
  <c r="Y46" i="2"/>
  <c r="X43" i="2"/>
  <c r="W47" i="2"/>
  <c r="Y48" i="2"/>
  <c r="Y42" i="2"/>
  <c r="W44" i="2"/>
  <c r="Y44" i="2"/>
  <c r="W51" i="2"/>
  <c r="X45" i="2"/>
  <c r="Y51" i="2"/>
  <c r="W49" i="2"/>
  <c r="Y43" i="2"/>
  <c r="W50" i="2"/>
  <c r="T37" i="2"/>
  <c r="U37" i="2" s="1"/>
  <c r="Y45" i="2"/>
  <c r="V36" i="2"/>
  <c r="W36" i="2" s="1"/>
  <c r="W45" i="2"/>
  <c r="V37" i="2"/>
  <c r="W37" i="2" s="1"/>
  <c r="W42" i="2"/>
  <c r="W43" i="2"/>
  <c r="W48" i="2"/>
  <c r="X36" i="2" l="1"/>
  <c r="X37" i="2"/>
  <c r="A11" i="2"/>
  <c r="A12" i="2" s="1"/>
  <c r="A13" i="2" s="1"/>
  <c r="A14" i="2" s="1"/>
  <c r="A15" i="2" s="1"/>
  <c r="A16" i="2" s="1"/>
  <c r="A17" i="2" s="1"/>
  <c r="S36" i="2"/>
  <c r="Y52" i="2"/>
  <c r="W52" i="2"/>
  <c r="W53" i="2"/>
  <c r="Y53" i="2"/>
  <c r="A18" i="2" l="1"/>
  <c r="A19" i="2" s="1"/>
  <c r="A20" i="2" s="1"/>
  <c r="A21" i="2" s="1"/>
  <c r="A22" i="2" s="1"/>
  <c r="A23" i="2" s="1"/>
  <c r="A24" i="2" s="1"/>
  <c r="S37" i="2"/>
</calcChain>
</file>

<file path=xl/sharedStrings.xml><?xml version="1.0" encoding="utf-8"?>
<sst xmlns="http://schemas.openxmlformats.org/spreadsheetml/2006/main" count="342" uniqueCount="53">
  <si>
    <t>cfs</t>
  </si>
  <si>
    <t>OMR = -6250</t>
  </si>
  <si>
    <t>OMR = -5000</t>
  </si>
  <si>
    <t>OMR = -3500</t>
  </si>
  <si>
    <t>OMR = -2000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</si>
  <si>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</si>
  <si>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</si>
  <si>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</si>
  <si>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</si>
  <si>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</si>
  <si>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</si>
  <si>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</si>
  <si>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>CCF (af)</t>
  </si>
  <si>
    <t>TPP (af)</t>
  </si>
  <si>
    <t xml:space="preserve">  </t>
  </si>
  <si>
    <t>CVP Exports (AF)</t>
  </si>
  <si>
    <t>SWP Exports (AF)</t>
  </si>
  <si>
    <t>Sacramento River at Freeport (cfs)</t>
  </si>
  <si>
    <t>San Joaquin River at Vernalis (cfs)</t>
  </si>
  <si>
    <t>med</t>
  </si>
  <si>
    <t>hi</t>
  </si>
  <si>
    <t>OMR Bins</t>
  </si>
  <si>
    <t>Total Exports (AF)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</si>
  <si>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</si>
  <si>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</si>
  <si>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</si>
  <si>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</si>
  <si>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</si>
  <si>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</si>
  <si>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</si>
  <si>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</si>
  <si>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</si>
  <si>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</si>
  <si>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</si>
  <si>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DWR forecast date starts 12/30/2025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</si>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</sst>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1" fillId="0" borderId="11" xfId="1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48613612833783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34616763235499"/>
          <c:y val="0.238779999900229"/>
          <c:w val="0.84028867246546546"/>
          <c:h val="0.50585107179024136"/>
        </c:manualLayout>
      </c:layout>
      <c:lineChart>
        <c:grouping val="standard"/>
        <c:varyColors val="0"/>
        <c:ser>
          <c:idx val="3"/>
          <c:order val="0"/>
          <c:tx>
            <c:v>Sacramento River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64801</c:v>
                </c:pt>
                <c:pt idx="1">
                  <c:v>61200</c:v>
                </c:pt>
                <c:pt idx="2">
                  <c:v>56858</c:v>
                </c:pt>
                <c:pt idx="3">
                  <c:v>53809</c:v>
                </c:pt>
                <c:pt idx="4">
                  <c:v>55873</c:v>
                </c:pt>
                <c:pt idx="5">
                  <c:v>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390-975C-A81DB58B1A2A}"/>
            </c:ext>
          </c:extLst>
        </c:ser>
        <c:ser>
          <c:idx val="5"/>
          <c:order val="1"/>
          <c:tx>
            <c:v>Sacramento River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67019</c:v>
                </c:pt>
                <c:pt idx="6">
                  <c:v>75792</c:v>
                </c:pt>
                <c:pt idx="7">
                  <c:v>75535</c:v>
                </c:pt>
                <c:pt idx="8">
                  <c:v>74943</c:v>
                </c:pt>
                <c:pt idx="9">
                  <c:v>74302</c:v>
                </c:pt>
                <c:pt idx="10">
                  <c:v>73450</c:v>
                </c:pt>
                <c:pt idx="11">
                  <c:v>72041</c:v>
                </c:pt>
                <c:pt idx="12">
                  <c:v>70572</c:v>
                </c:pt>
                <c:pt idx="13">
                  <c:v>69004</c:v>
                </c:pt>
                <c:pt idx="14">
                  <c:v>66245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390-975C-A81DB58B1A2A}"/>
            </c:ext>
          </c:extLst>
        </c:ser>
        <c:ser>
          <c:idx val="6"/>
          <c:order val="2"/>
          <c:tx>
            <c:v>San Joaquin River at Vernalis (Measured)</c:v>
          </c:tx>
          <c:spPr>
            <a:ln w="571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2152</c:v>
                </c:pt>
                <c:pt idx="1">
                  <c:v>1934</c:v>
                </c:pt>
                <c:pt idx="2">
                  <c:v>1874</c:v>
                </c:pt>
                <c:pt idx="3">
                  <c:v>1928</c:v>
                </c:pt>
                <c:pt idx="4">
                  <c:v>2495</c:v>
                </c:pt>
                <c:pt idx="5">
                  <c:v>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390-975C-A81DB58B1A2A}"/>
            </c:ext>
          </c:extLst>
        </c:ser>
        <c:ser>
          <c:idx val="7"/>
          <c:order val="3"/>
          <c:tx>
            <c:v>San Joaquin River at Vernalis (Forecast)</c:v>
          </c:tx>
          <c:spPr>
            <a:ln w="57150" cap="sq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2583</c:v>
                </c:pt>
                <c:pt idx="6">
                  <c:v>3278</c:v>
                </c:pt>
                <c:pt idx="7">
                  <c:v>5826</c:v>
                </c:pt>
                <c:pt idx="8">
                  <c:v>4254</c:v>
                </c:pt>
                <c:pt idx="9">
                  <c:v>3382</c:v>
                </c:pt>
                <c:pt idx="10">
                  <c:v>3043</c:v>
                </c:pt>
                <c:pt idx="11">
                  <c:v>2500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390-975C-A81DB58B1A2A}"/>
            </c:ext>
          </c:extLst>
        </c:ser>
        <c:ser>
          <c:idx val="2"/>
          <c:order val="4"/>
          <c:tx>
            <c:v>Clifton Court Forebay (Measured)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6000</c:v>
                </c:pt>
                <c:pt idx="1">
                  <c:v>6000</c:v>
                </c:pt>
                <c:pt idx="2">
                  <c:v>6400</c:v>
                </c:pt>
                <c:pt idx="3">
                  <c:v>6400</c:v>
                </c:pt>
                <c:pt idx="4">
                  <c:v>6500</c:v>
                </c:pt>
                <c:pt idx="5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390-975C-A81DB58B1A2A}"/>
            </c:ext>
          </c:extLst>
        </c:ser>
        <c:ser>
          <c:idx val="0"/>
          <c:order val="5"/>
          <c:tx>
            <c:v>Clifton Court Forebay (Forecast)</c:v>
          </c:tx>
          <c:spPr>
            <a:ln w="38100" cap="sq"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7100</c:v>
                </c:pt>
                <c:pt idx="6">
                  <c:v>7100</c:v>
                </c:pt>
                <c:pt idx="7">
                  <c:v>7600</c:v>
                </c:pt>
                <c:pt idx="8">
                  <c:v>9800</c:v>
                </c:pt>
                <c:pt idx="9">
                  <c:v>8300</c:v>
                </c:pt>
                <c:pt idx="10">
                  <c:v>7400</c:v>
                </c:pt>
                <c:pt idx="11">
                  <c:v>7100</c:v>
                </c:pt>
                <c:pt idx="12">
                  <c:v>6500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390-975C-A81DB58B1A2A}"/>
            </c:ext>
          </c:extLst>
        </c:ser>
        <c:ser>
          <c:idx val="1"/>
          <c:order val="6"/>
          <c:tx>
            <c:v>Tracy Pumping Plant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8400</c:v>
                </c:pt>
                <c:pt idx="1">
                  <c:v>8400</c:v>
                </c:pt>
                <c:pt idx="2">
                  <c:v>8400</c:v>
                </c:pt>
                <c:pt idx="3">
                  <c:v>8400</c:v>
                </c:pt>
                <c:pt idx="4">
                  <c:v>8400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390-975C-A81DB58B1A2A}"/>
            </c:ext>
          </c:extLst>
        </c:ser>
        <c:ser>
          <c:idx val="4"/>
          <c:order val="7"/>
          <c:tx>
            <c:v>Tracy Pumping Plant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8400</c:v>
                </c:pt>
                <c:pt idx="6">
                  <c:v>8400</c:v>
                </c:pt>
                <c:pt idx="7">
                  <c:v>8800</c:v>
                </c:pt>
                <c:pt idx="8">
                  <c:v>9124</c:v>
                </c:pt>
                <c:pt idx="9">
                  <c:v>9124</c:v>
                </c:pt>
                <c:pt idx="10">
                  <c:v>9124</c:v>
                </c:pt>
                <c:pt idx="11">
                  <c:v>9124</c:v>
                </c:pt>
                <c:pt idx="12">
                  <c:v>9124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8-4390-975C-A81DB58B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5000"/>
          <c:min val="44977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 Flow (cfs)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20099589572992"/>
          <c:y val="8.4202754678013955E-2"/>
          <c:w val="0.83080197662739075"/>
          <c:h val="0.1445742022059373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-6,250 cfs</a:t>
            </a:r>
            <a:endParaRPr lang="en-US"/>
          </a:p>
        </c:rich>
      </c:tx>
      <c:layout>
        <c:manualLayout>
          <c:xMode val="edge"/>
          <c:yMode val="edge"/>
          <c:x val="0.34104420365431953"/>
          <c:y val="0.210857806671873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8486286538664479"/>
          <c:w val="0.75125136904222345"/>
          <c:h val="0.44824722965493113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64801</c:v>
                </c:pt>
                <c:pt idx="1">
                  <c:v>61200</c:v>
                </c:pt>
                <c:pt idx="2">
                  <c:v>56858</c:v>
                </c:pt>
                <c:pt idx="3">
                  <c:v>53809</c:v>
                </c:pt>
                <c:pt idx="4">
                  <c:v>55873</c:v>
                </c:pt>
                <c:pt idx="5">
                  <c:v>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8C8-B7BD-C8225474B71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67019</c:v>
                </c:pt>
                <c:pt idx="6">
                  <c:v>75792</c:v>
                </c:pt>
                <c:pt idx="7">
                  <c:v>75535</c:v>
                </c:pt>
                <c:pt idx="8">
                  <c:v>74943</c:v>
                </c:pt>
                <c:pt idx="9">
                  <c:v>74302</c:v>
                </c:pt>
                <c:pt idx="10">
                  <c:v>73450</c:v>
                </c:pt>
                <c:pt idx="11">
                  <c:v>72041</c:v>
                </c:pt>
                <c:pt idx="12">
                  <c:v>70572</c:v>
                </c:pt>
                <c:pt idx="13">
                  <c:v>69004</c:v>
                </c:pt>
                <c:pt idx="14">
                  <c:v>66245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5-48C8-B7BD-C8225474B71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2152</c:v>
                </c:pt>
                <c:pt idx="1">
                  <c:v>1934</c:v>
                </c:pt>
                <c:pt idx="2">
                  <c:v>1874</c:v>
                </c:pt>
                <c:pt idx="3">
                  <c:v>1928</c:v>
                </c:pt>
                <c:pt idx="4">
                  <c:v>2495</c:v>
                </c:pt>
                <c:pt idx="5">
                  <c:v>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5-48C8-B7BD-C8225474B71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2583</c:v>
                </c:pt>
                <c:pt idx="6">
                  <c:v>3278</c:v>
                </c:pt>
                <c:pt idx="7">
                  <c:v>5826</c:v>
                </c:pt>
                <c:pt idx="8">
                  <c:v>4254</c:v>
                </c:pt>
                <c:pt idx="9">
                  <c:v>3382</c:v>
                </c:pt>
                <c:pt idx="10">
                  <c:v>3043</c:v>
                </c:pt>
                <c:pt idx="11">
                  <c:v>2500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5-48C8-B7BD-C8225474B710}"/>
            </c:ext>
          </c:extLst>
        </c:ser>
        <c:ser>
          <c:idx val="8"/>
          <c:order val="8"/>
          <c:tx>
            <c:v>OMR (measured)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plot_example!$I$3:$I$24</c:f>
              <c:numCache>
                <c:formatCode>General</c:formatCode>
                <c:ptCount val="22"/>
                <c:pt idx="0">
                  <c:v>-6250</c:v>
                </c:pt>
                <c:pt idx="1">
                  <c:v>-6250</c:v>
                </c:pt>
                <c:pt idx="2">
                  <c:v>-6250</c:v>
                </c:pt>
                <c:pt idx="3">
                  <c:v>-6250</c:v>
                </c:pt>
                <c:pt idx="4">
                  <c:v>-6250</c:v>
                </c:pt>
                <c:pt idx="5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5-48C8-B7BD-C8225474B710}"/>
            </c:ext>
          </c:extLst>
        </c:ser>
        <c:ser>
          <c:idx val="9"/>
          <c:order val="9"/>
          <c:tx>
            <c:v>OMR (forecast)</c:v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plot_example!$J$3:$J$24</c:f>
              <c:numCache>
                <c:formatCode>General</c:formatCode>
                <c:ptCount val="22"/>
                <c:pt idx="5">
                  <c:v>-6250</c:v>
                </c:pt>
                <c:pt idx="6">
                  <c:v>-6250</c:v>
                </c:pt>
                <c:pt idx="7">
                  <c:v>-6250</c:v>
                </c:pt>
                <c:pt idx="8">
                  <c:v>-6250</c:v>
                </c:pt>
                <c:pt idx="9">
                  <c:v>-6250</c:v>
                </c:pt>
                <c:pt idx="10">
                  <c:v>-6250</c:v>
                </c:pt>
                <c:pt idx="11">
                  <c:v>-6250</c:v>
                </c:pt>
                <c:pt idx="12">
                  <c:v>-6250</c:v>
                </c:pt>
                <c:pt idx="13">
                  <c:v>-6250</c:v>
                </c:pt>
                <c:pt idx="14">
                  <c:v>-6250</c:v>
                </c:pt>
                <c:pt idx="15">
                  <c:v>-6250</c:v>
                </c:pt>
                <c:pt idx="16">
                  <c:v>-6250</c:v>
                </c:pt>
                <c:pt idx="17">
                  <c:v>-6250</c:v>
                </c:pt>
                <c:pt idx="18">
                  <c:v>-6250</c:v>
                </c:pt>
                <c:pt idx="19">
                  <c:v>-6250</c:v>
                </c:pt>
                <c:pt idx="20">
                  <c:v>-6250</c:v>
                </c:pt>
                <c:pt idx="21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tx>
            <c:v>SWP Exports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6000</c:v>
                </c:pt>
                <c:pt idx="1">
                  <c:v>6000</c:v>
                </c:pt>
                <c:pt idx="2">
                  <c:v>6400</c:v>
                </c:pt>
                <c:pt idx="3">
                  <c:v>6400</c:v>
                </c:pt>
                <c:pt idx="4">
                  <c:v>6500</c:v>
                </c:pt>
                <c:pt idx="5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5-48C8-B7BD-C8225474B710}"/>
            </c:ext>
          </c:extLst>
        </c:ser>
        <c:ser>
          <c:idx val="0"/>
          <c:order val="5"/>
          <c:tx>
            <c:v>SWP Exports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7100</c:v>
                </c:pt>
                <c:pt idx="6">
                  <c:v>7100</c:v>
                </c:pt>
                <c:pt idx="7">
                  <c:v>7600</c:v>
                </c:pt>
                <c:pt idx="8">
                  <c:v>9800</c:v>
                </c:pt>
                <c:pt idx="9">
                  <c:v>8300</c:v>
                </c:pt>
                <c:pt idx="10">
                  <c:v>7400</c:v>
                </c:pt>
                <c:pt idx="11">
                  <c:v>7100</c:v>
                </c:pt>
                <c:pt idx="12">
                  <c:v>6500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5-48C8-B7BD-C8225474B710}"/>
            </c:ext>
          </c:extLst>
        </c:ser>
        <c:ser>
          <c:idx val="1"/>
          <c:order val="6"/>
          <c:tx>
            <c:v>CVP Exports (Measured)</c:v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8400</c:v>
                </c:pt>
                <c:pt idx="1">
                  <c:v>8400</c:v>
                </c:pt>
                <c:pt idx="2">
                  <c:v>8400</c:v>
                </c:pt>
                <c:pt idx="3">
                  <c:v>8400</c:v>
                </c:pt>
                <c:pt idx="4">
                  <c:v>8400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5-48C8-B7BD-C8225474B710}"/>
            </c:ext>
          </c:extLst>
        </c:ser>
        <c:ser>
          <c:idx val="4"/>
          <c:order val="7"/>
          <c:tx>
            <c:v>CVP Exports (Forecast)</c:v>
          </c:tx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8400</c:v>
                </c:pt>
                <c:pt idx="6">
                  <c:v>8400</c:v>
                </c:pt>
                <c:pt idx="7">
                  <c:v>8800</c:v>
                </c:pt>
                <c:pt idx="8">
                  <c:v>9124</c:v>
                </c:pt>
                <c:pt idx="9">
                  <c:v>9124</c:v>
                </c:pt>
                <c:pt idx="10">
                  <c:v>9124</c:v>
                </c:pt>
                <c:pt idx="11">
                  <c:v>9124</c:v>
                </c:pt>
                <c:pt idx="12">
                  <c:v>9124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legend>
      <c:legendPos val="r"/>
      <c:layout>
        <c:manualLayout>
          <c:xMode val="edge"/>
          <c:yMode val="edge"/>
          <c:x val="0.12165554243485029"/>
          <c:y val="3.5575200955284105E-3"/>
          <c:w val="0.87834446367581553"/>
          <c:h val="0.20270813227656465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64801</c:v>
                </c:pt>
                <c:pt idx="1">
                  <c:v>61200</c:v>
                </c:pt>
                <c:pt idx="2">
                  <c:v>56858</c:v>
                </c:pt>
                <c:pt idx="3">
                  <c:v>53809</c:v>
                </c:pt>
                <c:pt idx="4">
                  <c:v>55873</c:v>
                </c:pt>
                <c:pt idx="5">
                  <c:v>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B70-B543-54BCAFBAFAFE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67019</c:v>
                </c:pt>
                <c:pt idx="6">
                  <c:v>75792</c:v>
                </c:pt>
                <c:pt idx="7">
                  <c:v>75535</c:v>
                </c:pt>
                <c:pt idx="8">
                  <c:v>74943</c:v>
                </c:pt>
                <c:pt idx="9">
                  <c:v>74302</c:v>
                </c:pt>
                <c:pt idx="10">
                  <c:v>73450</c:v>
                </c:pt>
                <c:pt idx="11">
                  <c:v>72041</c:v>
                </c:pt>
                <c:pt idx="12">
                  <c:v>70572</c:v>
                </c:pt>
                <c:pt idx="13">
                  <c:v>69004</c:v>
                </c:pt>
                <c:pt idx="14">
                  <c:v>66245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B70-B543-54BCAFBAFAFE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2152</c:v>
                </c:pt>
                <c:pt idx="1">
                  <c:v>1934</c:v>
                </c:pt>
                <c:pt idx="2">
                  <c:v>1874</c:v>
                </c:pt>
                <c:pt idx="3">
                  <c:v>1928</c:v>
                </c:pt>
                <c:pt idx="4">
                  <c:v>2495</c:v>
                </c:pt>
                <c:pt idx="5">
                  <c:v>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B70-B543-54BCAFBAFAFE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2583</c:v>
                </c:pt>
                <c:pt idx="6">
                  <c:v>3278</c:v>
                </c:pt>
                <c:pt idx="7">
                  <c:v>5826</c:v>
                </c:pt>
                <c:pt idx="8">
                  <c:v>4254</c:v>
                </c:pt>
                <c:pt idx="9">
                  <c:v>3382</c:v>
                </c:pt>
                <c:pt idx="10">
                  <c:v>3043</c:v>
                </c:pt>
                <c:pt idx="11">
                  <c:v>2500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B70-B543-54BCAFBAFAFE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plot_example!$R$3:$R$24</c:f>
              <c:numCache>
                <c:formatCode>General</c:formatCode>
                <c:ptCount val="22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B70-B543-54BCAFBAFAFE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plot_example!$S$3:$S$24</c:f>
              <c:numCache>
                <c:formatCode>General</c:formatCode>
                <c:ptCount val="22"/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-5000</c:v>
                </c:pt>
                <c:pt idx="11">
                  <c:v>-5000</c:v>
                </c:pt>
                <c:pt idx="12">
                  <c:v>-5000</c:v>
                </c:pt>
                <c:pt idx="13">
                  <c:v>-5000</c:v>
                </c:pt>
                <c:pt idx="14">
                  <c:v>-5000</c:v>
                </c:pt>
                <c:pt idx="15">
                  <c:v>-5000</c:v>
                </c:pt>
                <c:pt idx="16">
                  <c:v>-5000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  <c:pt idx="0">
                  <c:v>3569</c:v>
                </c:pt>
                <c:pt idx="1">
                  <c:v>3360</c:v>
                </c:pt>
                <c:pt idx="2">
                  <c:v>3355</c:v>
                </c:pt>
                <c:pt idx="3">
                  <c:v>3355</c:v>
                </c:pt>
                <c:pt idx="4">
                  <c:v>3168</c:v>
                </c:pt>
                <c:pt idx="5">
                  <c:v>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B70-B543-54BCAFBAFAFE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5">
                  <c:v>7135</c:v>
                </c:pt>
                <c:pt idx="6">
                  <c:v>5554</c:v>
                </c:pt>
                <c:pt idx="7">
                  <c:v>6347</c:v>
                </c:pt>
                <c:pt idx="8">
                  <c:v>7537</c:v>
                </c:pt>
                <c:pt idx="9">
                  <c:v>6149</c:v>
                </c:pt>
                <c:pt idx="10">
                  <c:v>5355</c:v>
                </c:pt>
                <c:pt idx="11">
                  <c:v>6347</c:v>
                </c:pt>
                <c:pt idx="12">
                  <c:v>5752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B70-B543-54BCAFBAFAFE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  <c:pt idx="0">
                  <c:v>7014</c:v>
                </c:pt>
                <c:pt idx="1">
                  <c:v>7043</c:v>
                </c:pt>
                <c:pt idx="2">
                  <c:v>7087</c:v>
                </c:pt>
                <c:pt idx="3">
                  <c:v>7016</c:v>
                </c:pt>
                <c:pt idx="4">
                  <c:v>5389</c:v>
                </c:pt>
                <c:pt idx="5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B70-B543-54BCAFBAFAFE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5">
                  <c:v>5338</c:v>
                </c:pt>
                <c:pt idx="6">
                  <c:v>6942</c:v>
                </c:pt>
                <c:pt idx="7">
                  <c:v>6942</c:v>
                </c:pt>
                <c:pt idx="8">
                  <c:v>8331</c:v>
                </c:pt>
                <c:pt idx="9">
                  <c:v>8331</c:v>
                </c:pt>
                <c:pt idx="10">
                  <c:v>8331</c:v>
                </c:pt>
                <c:pt idx="11">
                  <c:v>6942</c:v>
                </c:pt>
                <c:pt idx="12">
                  <c:v>6942</c:v>
                </c:pt>
                <c:pt idx="13">
                  <c:v>6942</c:v>
                </c:pt>
                <c:pt idx="14">
                  <c:v>6942</c:v>
                </c:pt>
                <c:pt idx="15">
                  <c:v>6942</c:v>
                </c:pt>
                <c:pt idx="16">
                  <c:v>6942</c:v>
                </c:pt>
                <c:pt idx="17">
                  <c:v>6942</c:v>
                </c:pt>
                <c:pt idx="18">
                  <c:v>6942</c:v>
                </c:pt>
                <c:pt idx="19">
                  <c:v>6942</c:v>
                </c:pt>
                <c:pt idx="20">
                  <c:v>6942</c:v>
                </c:pt>
                <c:pt idx="21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-3,500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64801</c:v>
                </c:pt>
                <c:pt idx="1">
                  <c:v>61200</c:v>
                </c:pt>
                <c:pt idx="2">
                  <c:v>56858</c:v>
                </c:pt>
                <c:pt idx="3">
                  <c:v>53809</c:v>
                </c:pt>
                <c:pt idx="4">
                  <c:v>55873</c:v>
                </c:pt>
                <c:pt idx="5">
                  <c:v>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0BF-8E27-D50EE73AE74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67019</c:v>
                </c:pt>
                <c:pt idx="6">
                  <c:v>75792</c:v>
                </c:pt>
                <c:pt idx="7">
                  <c:v>75535</c:v>
                </c:pt>
                <c:pt idx="8">
                  <c:v>74943</c:v>
                </c:pt>
                <c:pt idx="9">
                  <c:v>74302</c:v>
                </c:pt>
                <c:pt idx="10">
                  <c:v>73450</c:v>
                </c:pt>
                <c:pt idx="11">
                  <c:v>72041</c:v>
                </c:pt>
                <c:pt idx="12">
                  <c:v>70572</c:v>
                </c:pt>
                <c:pt idx="13">
                  <c:v>69004</c:v>
                </c:pt>
                <c:pt idx="14">
                  <c:v>66245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0BF-8E27-D50EE73AE74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2152</c:v>
                </c:pt>
                <c:pt idx="1">
                  <c:v>1934</c:v>
                </c:pt>
                <c:pt idx="2">
                  <c:v>1874</c:v>
                </c:pt>
                <c:pt idx="3">
                  <c:v>1928</c:v>
                </c:pt>
                <c:pt idx="4">
                  <c:v>2495</c:v>
                </c:pt>
                <c:pt idx="5">
                  <c:v>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D-40BF-8E27-D50EE73AE74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2583</c:v>
                </c:pt>
                <c:pt idx="6">
                  <c:v>3278</c:v>
                </c:pt>
                <c:pt idx="7">
                  <c:v>5826</c:v>
                </c:pt>
                <c:pt idx="8">
                  <c:v>4254</c:v>
                </c:pt>
                <c:pt idx="9">
                  <c:v>3382</c:v>
                </c:pt>
                <c:pt idx="10">
                  <c:v>3043</c:v>
                </c:pt>
                <c:pt idx="11">
                  <c:v>2500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D-40BF-8E27-D50EE73AE74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plot_example!$AA$3:$AA$24</c:f>
              <c:numCache>
                <c:formatCode>General</c:formatCode>
                <c:ptCount val="22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D-40BF-8E27-D50EE73AE74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plot_example!$AB$3:$AB$24</c:f>
              <c:numCache>
                <c:formatCode>General</c:formatCode>
                <c:ptCount val="22"/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  <c:pt idx="0">
                  <c:v>3569</c:v>
                </c:pt>
                <c:pt idx="1">
                  <c:v>3360</c:v>
                </c:pt>
                <c:pt idx="2">
                  <c:v>3355</c:v>
                </c:pt>
                <c:pt idx="3">
                  <c:v>3355</c:v>
                </c:pt>
                <c:pt idx="4">
                  <c:v>3168</c:v>
                </c:pt>
                <c:pt idx="5">
                  <c:v>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D-40BF-8E27-D50EE73AE74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5">
                  <c:v>7135</c:v>
                </c:pt>
                <c:pt idx="6">
                  <c:v>4165</c:v>
                </c:pt>
                <c:pt idx="7">
                  <c:v>4760</c:v>
                </c:pt>
                <c:pt idx="8">
                  <c:v>5951</c:v>
                </c:pt>
                <c:pt idx="9">
                  <c:v>4165</c:v>
                </c:pt>
                <c:pt idx="10">
                  <c:v>4959</c:v>
                </c:pt>
                <c:pt idx="11">
                  <c:v>4562</c:v>
                </c:pt>
                <c:pt idx="12">
                  <c:v>4165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D-40BF-8E27-D50EE73AE74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  <c:pt idx="0">
                  <c:v>7014</c:v>
                </c:pt>
                <c:pt idx="1">
                  <c:v>7043</c:v>
                </c:pt>
                <c:pt idx="2">
                  <c:v>7087</c:v>
                </c:pt>
                <c:pt idx="3">
                  <c:v>7016</c:v>
                </c:pt>
                <c:pt idx="4">
                  <c:v>5389</c:v>
                </c:pt>
                <c:pt idx="5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D-40BF-8E27-D50EE73AE74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5">
                  <c:v>5338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6942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-2,000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64801</c:v>
                </c:pt>
                <c:pt idx="1">
                  <c:v>61200</c:v>
                </c:pt>
                <c:pt idx="2">
                  <c:v>56858</c:v>
                </c:pt>
                <c:pt idx="3">
                  <c:v>53809</c:v>
                </c:pt>
                <c:pt idx="4">
                  <c:v>55873</c:v>
                </c:pt>
                <c:pt idx="5">
                  <c:v>67019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8-4339-84AC-0CF565EC333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67019</c:v>
                </c:pt>
                <c:pt idx="6">
                  <c:v>75792</c:v>
                </c:pt>
                <c:pt idx="7">
                  <c:v>75535</c:v>
                </c:pt>
                <c:pt idx="8">
                  <c:v>74943</c:v>
                </c:pt>
                <c:pt idx="9">
                  <c:v>74302</c:v>
                </c:pt>
                <c:pt idx="10">
                  <c:v>73450</c:v>
                </c:pt>
                <c:pt idx="11">
                  <c:v>72041</c:v>
                </c:pt>
                <c:pt idx="12">
                  <c:v>70572</c:v>
                </c:pt>
                <c:pt idx="13">
                  <c:v>69004</c:v>
                </c:pt>
                <c:pt idx="14">
                  <c:v>66245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8-4339-84AC-0CF565EC333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2152</c:v>
                </c:pt>
                <c:pt idx="1">
                  <c:v>1934</c:v>
                </c:pt>
                <c:pt idx="2">
                  <c:v>1874</c:v>
                </c:pt>
                <c:pt idx="3">
                  <c:v>1928</c:v>
                </c:pt>
                <c:pt idx="4">
                  <c:v>2495</c:v>
                </c:pt>
                <c:pt idx="5">
                  <c:v>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8-4339-84AC-0CF565EC333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2583</c:v>
                </c:pt>
                <c:pt idx="6">
                  <c:v>3278</c:v>
                </c:pt>
                <c:pt idx="7">
                  <c:v>5826</c:v>
                </c:pt>
                <c:pt idx="8">
                  <c:v>4254</c:v>
                </c:pt>
                <c:pt idx="9">
                  <c:v>3382</c:v>
                </c:pt>
                <c:pt idx="10">
                  <c:v>3043</c:v>
                </c:pt>
                <c:pt idx="11">
                  <c:v>2500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8-4339-84AC-0CF565EC333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plot_example!$AJ$3:$AJ$24</c:f>
              <c:numCache>
                <c:formatCode>General</c:formatCode>
                <c:ptCount val="22"/>
                <c:pt idx="0">
                  <c:v>-2000</c:v>
                </c:pt>
                <c:pt idx="1">
                  <c:v>-2000</c:v>
                </c:pt>
                <c:pt idx="2">
                  <c:v>-2000</c:v>
                </c:pt>
                <c:pt idx="3">
                  <c:v>-2000</c:v>
                </c:pt>
                <c:pt idx="4">
                  <c:v>-2000</c:v>
                </c:pt>
                <c:pt idx="5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8-4339-84AC-0CF565EC333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plot_example!$AK$3:$AK$24</c:f>
              <c:numCache>
                <c:formatCode>General</c:formatCode>
                <c:ptCount val="22"/>
                <c:pt idx="5">
                  <c:v>-2000</c:v>
                </c:pt>
                <c:pt idx="6">
                  <c:v>-2000</c:v>
                </c:pt>
                <c:pt idx="7">
                  <c:v>-2000</c:v>
                </c:pt>
                <c:pt idx="8">
                  <c:v>-2000</c:v>
                </c:pt>
                <c:pt idx="9">
                  <c:v>-2000</c:v>
                </c:pt>
                <c:pt idx="10">
                  <c:v>-2000</c:v>
                </c:pt>
                <c:pt idx="11">
                  <c:v>-2000</c:v>
                </c:pt>
                <c:pt idx="12">
                  <c:v>-2000</c:v>
                </c:pt>
                <c:pt idx="13">
                  <c:v>-2000</c:v>
                </c:pt>
                <c:pt idx="14">
                  <c:v>-2000</c:v>
                </c:pt>
                <c:pt idx="15">
                  <c:v>-2000</c:v>
                </c:pt>
                <c:pt idx="16">
                  <c:v>-2000</c:v>
                </c:pt>
                <c:pt idx="17">
                  <c:v>-2000</c:v>
                </c:pt>
                <c:pt idx="18">
                  <c:v>-2000</c:v>
                </c:pt>
                <c:pt idx="19">
                  <c:v>-2000</c:v>
                </c:pt>
                <c:pt idx="20">
                  <c:v>-2000</c:v>
                </c:pt>
                <c:pt idx="21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  <c:pt idx="0">
                  <c:v>3569</c:v>
                </c:pt>
                <c:pt idx="1">
                  <c:v>3360</c:v>
                </c:pt>
                <c:pt idx="2">
                  <c:v>3355</c:v>
                </c:pt>
                <c:pt idx="3">
                  <c:v>3355</c:v>
                </c:pt>
                <c:pt idx="4">
                  <c:v>3168</c:v>
                </c:pt>
                <c:pt idx="5">
                  <c:v>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8-4339-84AC-0CF565EC333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5">
                  <c:v>7135</c:v>
                </c:pt>
                <c:pt idx="6">
                  <c:v>2579</c:v>
                </c:pt>
                <c:pt idx="7">
                  <c:v>3372</c:v>
                </c:pt>
                <c:pt idx="8">
                  <c:v>4165</c:v>
                </c:pt>
                <c:pt idx="9">
                  <c:v>4364</c:v>
                </c:pt>
                <c:pt idx="10">
                  <c:v>3570</c:v>
                </c:pt>
                <c:pt idx="11">
                  <c:v>3174</c:v>
                </c:pt>
                <c:pt idx="12">
                  <c:v>2579</c:v>
                </c:pt>
                <c:pt idx="13">
                  <c:v>2182</c:v>
                </c:pt>
                <c:pt idx="14">
                  <c:v>2182</c:v>
                </c:pt>
                <c:pt idx="15">
                  <c:v>2182</c:v>
                </c:pt>
                <c:pt idx="16">
                  <c:v>2182</c:v>
                </c:pt>
                <c:pt idx="17">
                  <c:v>2182</c:v>
                </c:pt>
                <c:pt idx="18">
                  <c:v>2182</c:v>
                </c:pt>
                <c:pt idx="19">
                  <c:v>2182</c:v>
                </c:pt>
                <c:pt idx="20">
                  <c:v>2182</c:v>
                </c:pt>
                <c:pt idx="21">
                  <c:v>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8-4339-84AC-0CF565EC333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  <c:pt idx="0">
                  <c:v>7014</c:v>
                </c:pt>
                <c:pt idx="1">
                  <c:v>7043</c:v>
                </c:pt>
                <c:pt idx="2">
                  <c:v>7087</c:v>
                </c:pt>
                <c:pt idx="3">
                  <c:v>7016</c:v>
                </c:pt>
                <c:pt idx="4">
                  <c:v>5389</c:v>
                </c:pt>
                <c:pt idx="5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48-4339-84AC-0CF565EC333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46023</c:v>
                </c:pt>
                <c:pt idx="3">
                  <c:v>46024</c:v>
                </c:pt>
                <c:pt idx="4">
                  <c:v>46025</c:v>
                </c:pt>
                <c:pt idx="5">
                  <c:v>46026</c:v>
                </c:pt>
                <c:pt idx="6">
                  <c:v>46027</c:v>
                </c:pt>
                <c:pt idx="7">
                  <c:v>46028</c:v>
                </c:pt>
                <c:pt idx="8">
                  <c:v>46029</c:v>
                </c:pt>
                <c:pt idx="9">
                  <c:v>46030</c:v>
                </c:pt>
                <c:pt idx="10">
                  <c:v>46031</c:v>
                </c:pt>
                <c:pt idx="11">
                  <c:v>46032</c:v>
                </c:pt>
                <c:pt idx="12">
                  <c:v>46033</c:v>
                </c:pt>
                <c:pt idx="13">
                  <c:v>46034</c:v>
                </c:pt>
                <c:pt idx="14">
                  <c:v>46035</c:v>
                </c:pt>
                <c:pt idx="15">
                  <c:v>46036</c:v>
                </c:pt>
                <c:pt idx="16">
                  <c:v>46037</c:v>
                </c:pt>
                <c:pt idx="17">
                  <c:v>46038</c:v>
                </c:pt>
                <c:pt idx="18">
                  <c:v>46039</c:v>
                </c:pt>
                <c:pt idx="19">
                  <c:v>46040</c:v>
                </c:pt>
                <c:pt idx="20">
                  <c:v>46041</c:v>
                </c:pt>
                <c:pt idx="21">
                  <c:v>46042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5">
                  <c:v>5338</c:v>
                </c:pt>
                <c:pt idx="6">
                  <c:v>6942</c:v>
                </c:pt>
                <c:pt idx="7">
                  <c:v>6942</c:v>
                </c:pt>
                <c:pt idx="8">
                  <c:v>5355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320040</xdr:colOff>
      <xdr:row>24</xdr:row>
      <xdr:rowOff>30480</xdr:rowOff>
    </xdr:from>
    <xdr:to>
      <xdr:col>58</xdr:col>
      <xdr:colOff>167642</xdr:colOff>
      <xdr:row>50</xdr:row>
      <xdr:rowOff>77260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27B7B-55EC-41C2-9217-8FC2F832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254906</xdr:colOff>
      <xdr:row>35</xdr:row>
      <xdr:rowOff>68034</xdr:rowOff>
    </xdr:from>
    <xdr:to>
      <xdr:col>14</xdr:col>
      <xdr:colOff>115057</xdr:colOff>
      <xdr:row>104</xdr:row>
      <xdr:rowOff>87629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3AD33E-EC76-4908-BABE-33082713094D}"/>
            </a:ext>
          </a:extLst>
        </xdr:cNvPr>
        <xdr:cNvGrpSpPr/>
      </xdr:nvGrpSpPr>
      <xdr:grpSpPr>
        <a:xfrm>
          <a:off x="254906" y="6245677"/>
          <a:ext cx="8889851" cy="11220995"/>
          <a:chOff x="256800" y="5658665"/>
          <a:chExt cx="8430758" cy="1034741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191E552-2FA8-65C9-5AF6-B22BC468A6F3}"/>
              </a:ext>
            </a:extLst>
          </xdr:cNvPr>
          <xdr:cNvGraphicFramePr>
            <a:graphicFrameLocks/>
          </xdr:cNvGraphicFramePr>
        </xdr:nvGraphicFramePr>
        <xdr:xfrm>
          <a:off x="268279" y="5658665"/>
          <a:ext cx="8419229" cy="384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C332FCE-CA7E-EA63-EB67-2A388E8E0A14}"/>
              </a:ext>
            </a:extLst>
          </xdr:cNvPr>
          <xdr:cNvGraphicFramePr>
            <a:graphicFrameLocks/>
          </xdr:cNvGraphicFramePr>
        </xdr:nvGraphicFramePr>
        <xdr:xfrm>
          <a:off x="256800" y="8587848"/>
          <a:ext cx="8430757" cy="3076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73BF1EC-84E9-4A93-D50C-CC24DF8E8AC2}"/>
              </a:ext>
            </a:extLst>
          </xdr:cNvPr>
          <xdr:cNvGraphicFramePr>
            <a:graphicFrameLocks/>
          </xdr:cNvGraphicFramePr>
        </xdr:nvGraphicFramePr>
        <xdr:xfrm>
          <a:off x="258603" y="10747473"/>
          <a:ext cx="8428955" cy="3093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E1CCDC5-210C-04D2-3D84-D6DA1FDEB4AE}"/>
              </a:ext>
            </a:extLst>
          </xdr:cNvPr>
          <xdr:cNvGraphicFramePr>
            <a:graphicFrameLocks/>
          </xdr:cNvGraphicFramePr>
        </xdr:nvGraphicFramePr>
        <xdr:xfrm>
          <a:off x="266325" y="12927782"/>
          <a:ext cx="8419327" cy="307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zoomScale="70" zoomScaleNormal="70" workbookViewId="0">
      <selection activeCell="Q65" sqref="Q65"/>
    </sheetView>
  </sheetViews>
  <sheetFormatPr defaultRowHeight="12.3" x14ac:dyDescent="0.4"/>
  <cols>
    <col min="1" max="1" width="9.41796875" style="1" bestFit="1" customWidth="1"/>
    <col min="2" max="18" width="8.83984375" style="1"/>
    <col min="19" max="19" width="8.83984375" style="1" customWidth="1"/>
    <col min="20" max="20" width="10.1015625" style="1" bestFit="1" customWidth="1"/>
    <col min="21" max="21" width="8.83984375" style="1"/>
    <col min="22" max="22" width="10.1015625" style="1" bestFit="1" customWidth="1"/>
    <col min="23" max="25" width="10.1015625" style="1" customWidth="1"/>
    <col min="26" max="26" width="8.83984375" style="1"/>
    <col min="27" max="29" width="10.1015625" style="1" bestFit="1" customWidth="1"/>
    <col min="30" max="16384" width="8.83984375" style="1"/>
  </cols>
  <sheetData>
    <row r="1" spans="1:48" ht="12.6" thickBot="1" x14ac:dyDescent="0.45">
      <c r="B1" s="2" t="s">
        <v>0</v>
      </c>
      <c r="E1" s="2" t="s">
        <v>0</v>
      </c>
      <c r="H1" s="49" t="s">
        <v>1</v>
      </c>
      <c r="I1" s="50"/>
      <c r="J1" s="50"/>
      <c r="K1" s="50"/>
      <c r="L1" s="50"/>
      <c r="M1" s="50"/>
      <c r="N1" s="50"/>
      <c r="O1" s="50"/>
      <c r="P1" s="51"/>
      <c r="Q1" s="49" t="s">
        <v>2</v>
      </c>
      <c r="R1" s="50"/>
      <c r="S1" s="50"/>
      <c r="T1" s="50"/>
      <c r="U1" s="50"/>
      <c r="V1" s="50"/>
      <c r="W1" s="50"/>
      <c r="X1" s="50"/>
      <c r="Y1" s="51"/>
      <c r="Z1" s="49" t="s">
        <v>3</v>
      </c>
      <c r="AA1" s="50"/>
      <c r="AB1" s="50"/>
      <c r="AC1" s="50"/>
      <c r="AD1" s="50"/>
      <c r="AE1" s="50"/>
      <c r="AF1" s="50"/>
      <c r="AG1" s="50"/>
      <c r="AH1" s="51"/>
      <c r="AI1" s="3"/>
      <c r="AJ1" s="3"/>
      <c r="AK1" s="3"/>
      <c r="AL1" s="49" t="s">
        <v>4</v>
      </c>
      <c r="AM1" s="50"/>
      <c r="AN1" s="50"/>
      <c r="AO1" s="50"/>
      <c r="AP1" s="50"/>
      <c r="AQ1" s="51"/>
      <c r="AR1" s="2" t="s">
        <v>5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4">
      <c r="B2" s="5" t="s">
        <v>6</v>
      </c>
      <c r="C2" s="6" t="s">
        <v>7</v>
      </c>
      <c r="D2" s="1" t="s">
        <v>8</v>
      </c>
      <c r="E2" s="4" t="s">
        <v>28</v>
      </c>
      <c r="F2" s="1" t="s">
        <v>9</v>
      </c>
      <c r="G2" s="1" t="s">
        <v>10</v>
      </c>
      <c r="H2" s="2" t="s">
        <v>11</v>
      </c>
      <c r="K2" s="7" t="s">
        <v>12</v>
      </c>
      <c r="N2" s="2" t="s">
        <v>13</v>
      </c>
      <c r="P2" s="8"/>
      <c r="Q2" s="2" t="s">
        <v>11</v>
      </c>
      <c r="T2" s="7" t="s">
        <v>12</v>
      </c>
      <c r="W2" s="2" t="s">
        <v>13</v>
      </c>
      <c r="Y2" s="8"/>
      <c r="Z2" s="2" t="s">
        <v>11</v>
      </c>
      <c r="AC2" s="7" t="s">
        <v>12</v>
      </c>
      <c r="AF2" s="2" t="s">
        <v>13</v>
      </c>
      <c r="AH2" s="8"/>
      <c r="AI2" s="2" t="s">
        <v>11</v>
      </c>
      <c r="AL2" s="7" t="s">
        <v>12</v>
      </c>
      <c r="AO2" s="2" t="s">
        <v>13</v>
      </c>
      <c r="AQ2" s="8"/>
    </row>
    <row r="3" spans="1:48" ht="14.4" x14ac:dyDescent="0.55000000000000004">
      <c r="A3" s="9">
        <v>46021</v>
      </c>
      <c r="B3" s="10">
        <f>'01_05_OMRI -2000'!E29</f>
        <v>64801</v>
      </c>
      <c r="C3" s="11">
        <f>B3</f>
        <v>64801</v>
      </c>
      <c r="E3" s="10">
        <f>'01_05_OMRI -2000'!D29</f>
        <v>2152</v>
      </c>
      <c r="F3" s="11">
        <f>E3</f>
        <v>2152</v>
      </c>
      <c r="H3" s="12">
        <f>-6250</f>
        <v>-6250</v>
      </c>
      <c r="I3" s="11">
        <f>H3</f>
        <v>-6250</v>
      </c>
      <c r="K3" s="13">
        <f>'01_05_OMRI -6250'!B29</f>
        <v>6000</v>
      </c>
      <c r="L3" s="11">
        <f>K3</f>
        <v>6000</v>
      </c>
      <c r="N3" s="14">
        <f>'01_05_OMRI -6250'!C29</f>
        <v>8400</v>
      </c>
      <c r="O3" s="11">
        <f>N3</f>
        <v>8400</v>
      </c>
      <c r="P3" s="8"/>
      <c r="Q3" s="1">
        <v>-5000</v>
      </c>
      <c r="R3" s="11">
        <f t="shared" ref="R3:R8" si="0">Q3</f>
        <v>-5000</v>
      </c>
      <c r="T3" s="10">
        <f>'01_05_OMRI -5000'!B29</f>
        <v>3569</v>
      </c>
      <c r="U3" s="11">
        <f t="shared" ref="U3:U8" si="1">T3</f>
        <v>3569</v>
      </c>
      <c r="W3" s="10">
        <f>'01_05_OMRI -5000'!C29</f>
        <v>7014</v>
      </c>
      <c r="X3" s="11">
        <f>W3</f>
        <v>7014</v>
      </c>
      <c r="Y3" s="8"/>
      <c r="Z3" s="1">
        <v>-3500</v>
      </c>
      <c r="AA3" s="11">
        <f>Z3</f>
        <v>-3500</v>
      </c>
      <c r="AB3" s="8"/>
      <c r="AC3" s="15">
        <f>'01_05_OMRI -3500'!B29</f>
        <v>3569</v>
      </c>
      <c r="AD3" s="11">
        <f>AC3</f>
        <v>3569</v>
      </c>
      <c r="AF3" s="14">
        <f>'01_05_OMRI -3500'!C29</f>
        <v>7014</v>
      </c>
      <c r="AG3" s="11">
        <f>AF3</f>
        <v>7014</v>
      </c>
      <c r="AH3" s="8"/>
      <c r="AI3" s="12">
        <v>-2000</v>
      </c>
      <c r="AJ3" s="11">
        <f>AI3</f>
        <v>-2000</v>
      </c>
      <c r="AL3" s="15">
        <f>'01_05_OMRI -2000'!B29</f>
        <v>3569</v>
      </c>
      <c r="AM3" s="11">
        <f>AL3</f>
        <v>3569</v>
      </c>
      <c r="AO3" s="14">
        <f>'01_05_OMRI -2000'!C29</f>
        <v>7014</v>
      </c>
      <c r="AP3" s="11">
        <f>AO3</f>
        <v>7014</v>
      </c>
      <c r="AQ3" s="8"/>
      <c r="AS3" s="16">
        <f t="shared" ref="AS3:AS24" si="2">N3/(K3+N3)</f>
        <v>0.58333333333333337</v>
      </c>
      <c r="AT3" s="16">
        <f t="shared" ref="AT3:AT24" si="3">W3/(T3+W3)</f>
        <v>0.66276103184352264</v>
      </c>
      <c r="AU3" s="16">
        <f>AF3/(AC3+AF3)</f>
        <v>0.66276103184352264</v>
      </c>
      <c r="AV3" s="16">
        <f>AO3/(AL3+AO3)</f>
        <v>0.66276103184352264</v>
      </c>
    </row>
    <row r="4" spans="1:48" ht="14.4" x14ac:dyDescent="0.55000000000000004">
      <c r="A4" s="9">
        <f>A3+1</f>
        <v>46022</v>
      </c>
      <c r="B4" s="10">
        <f>'01_05_OMRI -2000'!E30</f>
        <v>61200</v>
      </c>
      <c r="C4" s="11">
        <f t="shared" ref="C4:C8" si="4">B4</f>
        <v>61200</v>
      </c>
      <c r="E4" s="10">
        <f>'01_05_OMRI -2000'!D30</f>
        <v>1934</v>
      </c>
      <c r="F4" s="11">
        <f t="shared" ref="F4:F8" si="5">E4</f>
        <v>1934</v>
      </c>
      <c r="H4" s="12">
        <f t="shared" ref="H4:H24" si="6">-6250</f>
        <v>-6250</v>
      </c>
      <c r="I4" s="11">
        <f t="shared" ref="I4:I8" si="7">H4</f>
        <v>-6250</v>
      </c>
      <c r="K4" s="13">
        <f>'01_05_OMRI -6250'!B30</f>
        <v>6000</v>
      </c>
      <c r="L4" s="11">
        <f t="shared" ref="L4:L8" si="8">K4</f>
        <v>6000</v>
      </c>
      <c r="N4" s="14">
        <f>'01_05_OMRI -6250'!C30</f>
        <v>8400</v>
      </c>
      <c r="O4" s="11">
        <f t="shared" ref="O4:O8" si="9">N4</f>
        <v>8400</v>
      </c>
      <c r="P4" s="8"/>
      <c r="Q4" s="1">
        <v>-5000</v>
      </c>
      <c r="R4" s="11">
        <f t="shared" si="0"/>
        <v>-5000</v>
      </c>
      <c r="T4" s="10">
        <f>'01_05_OMRI -5000'!B30</f>
        <v>3360</v>
      </c>
      <c r="U4" s="11">
        <f t="shared" si="1"/>
        <v>3360</v>
      </c>
      <c r="W4" s="10">
        <f>'01_05_OMRI -5000'!C30</f>
        <v>7043</v>
      </c>
      <c r="X4" s="11">
        <f t="shared" ref="X4:X8" si="10">W4</f>
        <v>7043</v>
      </c>
      <c r="Y4" s="8"/>
      <c r="Z4" s="1">
        <v>-3500</v>
      </c>
      <c r="AA4" s="11">
        <f t="shared" ref="AA4:AA8" si="11">Z4</f>
        <v>-3500</v>
      </c>
      <c r="AB4" s="8"/>
      <c r="AC4" s="15">
        <f>'01_05_OMRI -3500'!B30</f>
        <v>3360</v>
      </c>
      <c r="AD4" s="11">
        <f t="shared" ref="AD4:AD8" si="12">AC4</f>
        <v>3360</v>
      </c>
      <c r="AF4" s="14">
        <f>'01_05_OMRI -3500'!C30</f>
        <v>7043</v>
      </c>
      <c r="AG4" s="11">
        <f t="shared" ref="AG4:AG8" si="13">AF4</f>
        <v>7043</v>
      </c>
      <c r="AH4" s="8"/>
      <c r="AI4" s="12">
        <v>-2000</v>
      </c>
      <c r="AJ4" s="11">
        <f t="shared" ref="AJ4:AJ8" si="14">AI4</f>
        <v>-2000</v>
      </c>
      <c r="AL4" s="15">
        <f>'01_05_OMRI -2000'!B30</f>
        <v>3360</v>
      </c>
      <c r="AM4" s="11">
        <f t="shared" ref="AM4:AM8" si="15">AL4</f>
        <v>3360</v>
      </c>
      <c r="AO4" s="14">
        <f>'01_05_OMRI -2000'!C30</f>
        <v>7043</v>
      </c>
      <c r="AP4" s="11">
        <f t="shared" ref="AP4:AP8" si="16">AO4</f>
        <v>7043</v>
      </c>
      <c r="AQ4" s="8"/>
      <c r="AS4" s="16">
        <f t="shared" si="2"/>
        <v>0.58333333333333337</v>
      </c>
      <c r="AT4" s="16">
        <f t="shared" si="3"/>
        <v>0.67701624531385174</v>
      </c>
      <c r="AU4" s="16">
        <f t="shared" ref="AU4:AU24" si="17">AF4/(AC4+AF4)</f>
        <v>0.67701624531385174</v>
      </c>
      <c r="AV4" s="16">
        <f t="shared" ref="AV4:AV24" si="18">AO4/(AL4+AO4)</f>
        <v>0.67701624531385174</v>
      </c>
    </row>
    <row r="5" spans="1:48" ht="14.4" x14ac:dyDescent="0.55000000000000004">
      <c r="A5" s="9">
        <f t="shared" ref="A5:A24" si="19">A4+1</f>
        <v>46023</v>
      </c>
      <c r="B5" s="10">
        <f>'01_05_OMRI -2000'!E31</f>
        <v>56858</v>
      </c>
      <c r="C5" s="11">
        <f t="shared" si="4"/>
        <v>56858</v>
      </c>
      <c r="E5" s="10">
        <f>'01_05_OMRI -2000'!D31</f>
        <v>1874</v>
      </c>
      <c r="F5" s="11">
        <f t="shared" si="5"/>
        <v>1874</v>
      </c>
      <c r="H5" s="12">
        <f t="shared" si="6"/>
        <v>-6250</v>
      </c>
      <c r="I5" s="11">
        <f t="shared" si="7"/>
        <v>-6250</v>
      </c>
      <c r="K5" s="13">
        <f>'01_05_OMRI -6250'!B31</f>
        <v>6400</v>
      </c>
      <c r="L5" s="11">
        <f t="shared" si="8"/>
        <v>6400</v>
      </c>
      <c r="N5" s="14">
        <f>'01_05_OMRI -6250'!C31</f>
        <v>8400</v>
      </c>
      <c r="O5" s="11">
        <f t="shared" si="9"/>
        <v>8400</v>
      </c>
      <c r="P5" s="8"/>
      <c r="Q5" s="1">
        <v>-5000</v>
      </c>
      <c r="R5" s="11">
        <f t="shared" si="0"/>
        <v>-5000</v>
      </c>
      <c r="T5" s="10">
        <f>'01_05_OMRI -5000'!B31</f>
        <v>3355</v>
      </c>
      <c r="U5" s="11">
        <f t="shared" si="1"/>
        <v>3355</v>
      </c>
      <c r="W5" s="10">
        <f>'01_05_OMRI -5000'!C31</f>
        <v>7087</v>
      </c>
      <c r="X5" s="11">
        <f t="shared" si="10"/>
        <v>7087</v>
      </c>
      <c r="Y5" s="8"/>
      <c r="Z5" s="1">
        <v>-3500</v>
      </c>
      <c r="AA5" s="11">
        <f t="shared" si="11"/>
        <v>-3500</v>
      </c>
      <c r="AB5" s="8"/>
      <c r="AC5" s="15">
        <f>'01_05_OMRI -3500'!B31</f>
        <v>3355</v>
      </c>
      <c r="AD5" s="11">
        <f t="shared" si="12"/>
        <v>3355</v>
      </c>
      <c r="AF5" s="14">
        <f>'01_05_OMRI -3500'!C31</f>
        <v>7087</v>
      </c>
      <c r="AG5" s="11">
        <f t="shared" si="13"/>
        <v>7087</v>
      </c>
      <c r="AH5" s="8"/>
      <c r="AI5" s="12">
        <v>-2000</v>
      </c>
      <c r="AJ5" s="11">
        <f t="shared" si="14"/>
        <v>-2000</v>
      </c>
      <c r="AL5" s="15">
        <f>'01_05_OMRI -2000'!B31</f>
        <v>3355</v>
      </c>
      <c r="AM5" s="11">
        <f t="shared" si="15"/>
        <v>3355</v>
      </c>
      <c r="AO5" s="14">
        <f>'01_05_OMRI -2000'!C31</f>
        <v>7087</v>
      </c>
      <c r="AP5" s="11">
        <f t="shared" si="16"/>
        <v>7087</v>
      </c>
      <c r="AQ5" s="8"/>
      <c r="AS5" s="16">
        <f t="shared" si="2"/>
        <v>0.56756756756756754</v>
      </c>
      <c r="AT5" s="16">
        <f t="shared" si="3"/>
        <v>0.67870139819957864</v>
      </c>
      <c r="AU5" s="16">
        <f t="shared" si="17"/>
        <v>0.67870139819957864</v>
      </c>
      <c r="AV5" s="16">
        <f t="shared" si="18"/>
        <v>0.67870139819957864</v>
      </c>
    </row>
    <row r="6" spans="1:48" ht="14.4" x14ac:dyDescent="0.55000000000000004">
      <c r="A6" s="9">
        <f t="shared" si="19"/>
        <v>46024</v>
      </c>
      <c r="B6" s="10">
        <f>'01_05_OMRI -2000'!E32</f>
        <v>53809</v>
      </c>
      <c r="C6" s="11">
        <f t="shared" si="4"/>
        <v>53809</v>
      </c>
      <c r="E6" s="10">
        <f>'01_05_OMRI -2000'!D32</f>
        <v>1928</v>
      </c>
      <c r="F6" s="11">
        <f t="shared" si="5"/>
        <v>1928</v>
      </c>
      <c r="H6" s="12">
        <f t="shared" si="6"/>
        <v>-6250</v>
      </c>
      <c r="I6" s="11">
        <f t="shared" si="7"/>
        <v>-6250</v>
      </c>
      <c r="K6" s="13">
        <f>'01_05_OMRI -6250'!B32</f>
        <v>6400</v>
      </c>
      <c r="L6" s="11">
        <f t="shared" si="8"/>
        <v>6400</v>
      </c>
      <c r="N6" s="14">
        <f>'01_05_OMRI -6250'!C32</f>
        <v>8400</v>
      </c>
      <c r="O6" s="11">
        <f t="shared" si="9"/>
        <v>8400</v>
      </c>
      <c r="P6" s="8"/>
      <c r="Q6" s="1">
        <v>-5000</v>
      </c>
      <c r="R6" s="11">
        <f t="shared" si="0"/>
        <v>-5000</v>
      </c>
      <c r="T6" s="10">
        <f>'01_05_OMRI -5000'!B32</f>
        <v>3355</v>
      </c>
      <c r="U6" s="11">
        <f t="shared" si="1"/>
        <v>3355</v>
      </c>
      <c r="W6" s="10">
        <f>'01_05_OMRI -5000'!C32</f>
        <v>7016</v>
      </c>
      <c r="X6" s="11">
        <f t="shared" si="10"/>
        <v>7016</v>
      </c>
      <c r="Y6" s="8"/>
      <c r="Z6" s="1">
        <v>-3500</v>
      </c>
      <c r="AA6" s="11">
        <f t="shared" si="11"/>
        <v>-3500</v>
      </c>
      <c r="AB6" s="8"/>
      <c r="AC6" s="15">
        <f>'01_05_OMRI -3500'!B32</f>
        <v>3355</v>
      </c>
      <c r="AD6" s="11">
        <f t="shared" si="12"/>
        <v>3355</v>
      </c>
      <c r="AF6" s="14">
        <f>'01_05_OMRI -3500'!C32</f>
        <v>7016</v>
      </c>
      <c r="AG6" s="11">
        <f t="shared" si="13"/>
        <v>7016</v>
      </c>
      <c r="AH6" s="8"/>
      <c r="AI6" s="12">
        <v>-2000</v>
      </c>
      <c r="AJ6" s="11">
        <f t="shared" si="14"/>
        <v>-2000</v>
      </c>
      <c r="AL6" s="15">
        <f>'01_05_OMRI -2000'!B32</f>
        <v>3355</v>
      </c>
      <c r="AM6" s="11">
        <f t="shared" si="15"/>
        <v>3355</v>
      </c>
      <c r="AO6" s="14">
        <f>'01_05_OMRI -2000'!C32</f>
        <v>7016</v>
      </c>
      <c r="AP6" s="11">
        <f t="shared" si="16"/>
        <v>7016</v>
      </c>
      <c r="AQ6" s="8"/>
      <c r="AS6" s="16">
        <f t="shared" si="2"/>
        <v>0.56756756756756754</v>
      </c>
      <c r="AT6" s="16">
        <f t="shared" si="3"/>
        <v>0.67650178382026804</v>
      </c>
      <c r="AU6" s="16">
        <f t="shared" si="17"/>
        <v>0.67650178382026804</v>
      </c>
      <c r="AV6" s="16">
        <f t="shared" si="18"/>
        <v>0.67650178382026804</v>
      </c>
    </row>
    <row r="7" spans="1:48" ht="14.4" x14ac:dyDescent="0.55000000000000004">
      <c r="A7" s="9">
        <f t="shared" si="19"/>
        <v>46025</v>
      </c>
      <c r="B7" s="10">
        <f>'01_05_OMRI -2000'!E33</f>
        <v>55873</v>
      </c>
      <c r="C7" s="11">
        <f t="shared" si="4"/>
        <v>55873</v>
      </c>
      <c r="E7" s="10">
        <f>'01_05_OMRI -2000'!D33</f>
        <v>2495</v>
      </c>
      <c r="F7" s="11">
        <f t="shared" si="5"/>
        <v>2495</v>
      </c>
      <c r="H7" s="12">
        <f t="shared" si="6"/>
        <v>-6250</v>
      </c>
      <c r="I7" s="11">
        <f t="shared" si="7"/>
        <v>-6250</v>
      </c>
      <c r="K7" s="13">
        <f>'01_05_OMRI -6250'!B33</f>
        <v>6500</v>
      </c>
      <c r="L7" s="11">
        <f t="shared" si="8"/>
        <v>6500</v>
      </c>
      <c r="N7" s="14">
        <f>'01_05_OMRI -6250'!C33</f>
        <v>8400</v>
      </c>
      <c r="O7" s="11">
        <f t="shared" si="9"/>
        <v>8400</v>
      </c>
      <c r="P7" s="8"/>
      <c r="Q7" s="1">
        <v>-5000</v>
      </c>
      <c r="R7" s="11">
        <f t="shared" si="0"/>
        <v>-5000</v>
      </c>
      <c r="T7" s="10">
        <f>'01_05_OMRI -5000'!B33</f>
        <v>3168</v>
      </c>
      <c r="U7" s="11">
        <f t="shared" si="1"/>
        <v>3168</v>
      </c>
      <c r="W7" s="10">
        <f>'01_05_OMRI -5000'!C33</f>
        <v>5389</v>
      </c>
      <c r="X7" s="11">
        <f t="shared" si="10"/>
        <v>5389</v>
      </c>
      <c r="Y7" s="8"/>
      <c r="Z7" s="1">
        <v>-3500</v>
      </c>
      <c r="AA7" s="11">
        <f t="shared" si="11"/>
        <v>-3500</v>
      </c>
      <c r="AB7" s="8"/>
      <c r="AC7" s="15">
        <f>'01_05_OMRI -3500'!B33</f>
        <v>3168</v>
      </c>
      <c r="AD7" s="11">
        <f t="shared" si="12"/>
        <v>3168</v>
      </c>
      <c r="AF7" s="14">
        <f>'01_05_OMRI -3500'!C33</f>
        <v>5389</v>
      </c>
      <c r="AG7" s="11">
        <f t="shared" si="13"/>
        <v>5389</v>
      </c>
      <c r="AH7" s="8"/>
      <c r="AI7" s="12">
        <v>-2000</v>
      </c>
      <c r="AJ7" s="11">
        <f t="shared" si="14"/>
        <v>-2000</v>
      </c>
      <c r="AL7" s="15">
        <f>'01_05_OMRI -2000'!B33</f>
        <v>3168</v>
      </c>
      <c r="AM7" s="11">
        <f t="shared" si="15"/>
        <v>3168</v>
      </c>
      <c r="AO7" s="14">
        <f>'01_05_OMRI -2000'!C33</f>
        <v>5389</v>
      </c>
      <c r="AP7" s="11">
        <f t="shared" si="16"/>
        <v>5389</v>
      </c>
      <c r="AQ7" s="8"/>
      <c r="AS7" s="16">
        <f t="shared" si="2"/>
        <v>0.56375838926174493</v>
      </c>
      <c r="AT7" s="16">
        <f t="shared" si="3"/>
        <v>0.62977679093140115</v>
      </c>
      <c r="AU7" s="16">
        <f t="shared" si="17"/>
        <v>0.62977679093140115</v>
      </c>
      <c r="AV7" s="16">
        <f t="shared" si="18"/>
        <v>0.62977679093140115</v>
      </c>
    </row>
    <row r="8" spans="1:48" ht="14.4" x14ac:dyDescent="0.55000000000000004">
      <c r="A8" s="9">
        <f t="shared" si="19"/>
        <v>46026</v>
      </c>
      <c r="B8" s="10">
        <f>'01_05_OMRI -2000'!E34</f>
        <v>67019</v>
      </c>
      <c r="C8" s="11">
        <f t="shared" si="4"/>
        <v>67019</v>
      </c>
      <c r="D8" s="1">
        <f>C8</f>
        <v>67019</v>
      </c>
      <c r="E8" s="10">
        <f>'01_05_OMRI -2000'!D34</f>
        <v>2583</v>
      </c>
      <c r="F8" s="11">
        <f t="shared" si="5"/>
        <v>2583</v>
      </c>
      <c r="G8" s="1">
        <f>E8</f>
        <v>2583</v>
      </c>
      <c r="H8" s="12">
        <f t="shared" si="6"/>
        <v>-6250</v>
      </c>
      <c r="I8" s="11">
        <f t="shared" si="7"/>
        <v>-6250</v>
      </c>
      <c r="J8" s="1">
        <f>H8</f>
        <v>-6250</v>
      </c>
      <c r="K8" s="13">
        <f>'01_05_OMRI -6250'!B34</f>
        <v>7100</v>
      </c>
      <c r="L8" s="11">
        <f t="shared" si="8"/>
        <v>7100</v>
      </c>
      <c r="M8" s="1">
        <f>K8</f>
        <v>7100</v>
      </c>
      <c r="N8" s="14">
        <f>'01_05_OMRI -6250'!C34</f>
        <v>8400</v>
      </c>
      <c r="O8" s="11">
        <f t="shared" si="9"/>
        <v>8400</v>
      </c>
      <c r="P8" s="8">
        <f>N8</f>
        <v>8400</v>
      </c>
      <c r="Q8" s="1">
        <v>-5000</v>
      </c>
      <c r="R8" s="11">
        <f t="shared" si="0"/>
        <v>-5000</v>
      </c>
      <c r="S8" s="1">
        <f t="shared" ref="S8:S24" si="20">Q8</f>
        <v>-5000</v>
      </c>
      <c r="T8" s="10">
        <f>'01_05_OMRI -5000'!B34</f>
        <v>7135</v>
      </c>
      <c r="U8" s="11">
        <f t="shared" si="1"/>
        <v>7135</v>
      </c>
      <c r="V8" s="1">
        <f t="shared" ref="V8:V24" si="21">T8</f>
        <v>7135</v>
      </c>
      <c r="W8" s="10">
        <f>'01_05_OMRI -5000'!C34</f>
        <v>5338</v>
      </c>
      <c r="X8" s="11">
        <f t="shared" si="10"/>
        <v>5338</v>
      </c>
      <c r="Y8" s="8">
        <f>W8</f>
        <v>5338</v>
      </c>
      <c r="Z8" s="1">
        <v>-3500</v>
      </c>
      <c r="AA8" s="11">
        <f t="shared" si="11"/>
        <v>-3500</v>
      </c>
      <c r="AB8" s="8">
        <f>Z8</f>
        <v>-3500</v>
      </c>
      <c r="AC8" s="15">
        <f>'01_05_OMRI -3500'!B34</f>
        <v>7135</v>
      </c>
      <c r="AD8" s="11">
        <f t="shared" si="12"/>
        <v>7135</v>
      </c>
      <c r="AE8" s="1">
        <f>AC8</f>
        <v>7135</v>
      </c>
      <c r="AF8" s="14">
        <f>'01_05_OMRI -3500'!C34</f>
        <v>5338</v>
      </c>
      <c r="AG8" s="11">
        <f t="shared" si="13"/>
        <v>5338</v>
      </c>
      <c r="AH8" s="8">
        <f>AF8</f>
        <v>5338</v>
      </c>
      <c r="AI8" s="12">
        <v>-2000</v>
      </c>
      <c r="AJ8" s="11">
        <f t="shared" si="14"/>
        <v>-2000</v>
      </c>
      <c r="AK8" s="1">
        <f>AI8</f>
        <v>-2000</v>
      </c>
      <c r="AL8" s="15">
        <f>'01_05_OMRI -2000'!B34</f>
        <v>7135</v>
      </c>
      <c r="AM8" s="11">
        <f t="shared" si="15"/>
        <v>7135</v>
      </c>
      <c r="AN8" s="1">
        <f>AL8</f>
        <v>7135</v>
      </c>
      <c r="AO8" s="14">
        <f>'01_05_OMRI -2000'!C34</f>
        <v>5338</v>
      </c>
      <c r="AP8" s="11">
        <f t="shared" si="16"/>
        <v>5338</v>
      </c>
      <c r="AQ8" s="8">
        <f>AO8</f>
        <v>5338</v>
      </c>
      <c r="AS8" s="16">
        <f t="shared" si="2"/>
        <v>0.54193548387096779</v>
      </c>
      <c r="AT8" s="16">
        <f t="shared" si="3"/>
        <v>0.42796440311071915</v>
      </c>
      <c r="AU8" s="16">
        <f t="shared" si="17"/>
        <v>0.42796440311071915</v>
      </c>
      <c r="AV8" s="16">
        <f t="shared" si="18"/>
        <v>0.42796440311071915</v>
      </c>
    </row>
    <row r="9" spans="1:48" ht="14.4" x14ac:dyDescent="0.55000000000000004">
      <c r="A9" s="9">
        <f t="shared" si="19"/>
        <v>46027</v>
      </c>
      <c r="B9" s="17">
        <f>'01_05_OMRI -2000'!E35</f>
        <v>75792</v>
      </c>
      <c r="C9" s="18"/>
      <c r="D9" s="1">
        <f t="shared" ref="D9:D24" si="22">B9</f>
        <v>75792</v>
      </c>
      <c r="E9" s="17">
        <f>'01_05_OMRI -2000'!D35</f>
        <v>3278</v>
      </c>
      <c r="F9" s="18"/>
      <c r="G9" s="1">
        <f>E9</f>
        <v>3278</v>
      </c>
      <c r="H9" s="19">
        <f t="shared" si="6"/>
        <v>-6250</v>
      </c>
      <c r="I9" s="18"/>
      <c r="J9" s="1">
        <f>H9</f>
        <v>-6250</v>
      </c>
      <c r="K9" s="20">
        <f>'01_05_OMRI -6250'!B35</f>
        <v>7100</v>
      </c>
      <c r="L9" s="18"/>
      <c r="M9" s="1">
        <f>K9</f>
        <v>7100</v>
      </c>
      <c r="N9" s="21">
        <f>'01_05_OMRI -6250'!C35</f>
        <v>8400</v>
      </c>
      <c r="O9" s="18"/>
      <c r="P9" s="8">
        <f>N9</f>
        <v>8400</v>
      </c>
      <c r="Q9" s="1">
        <v>-5000</v>
      </c>
      <c r="R9" s="18"/>
      <c r="S9" s="1">
        <f t="shared" si="20"/>
        <v>-5000</v>
      </c>
      <c r="T9" s="17">
        <f>'01_05_OMRI -5000'!B35</f>
        <v>5554</v>
      </c>
      <c r="U9" s="18"/>
      <c r="V9" s="1">
        <f t="shared" si="21"/>
        <v>5554</v>
      </c>
      <c r="W9" s="17">
        <f>'01_05_OMRI -5000'!C35</f>
        <v>6942</v>
      </c>
      <c r="X9" s="18"/>
      <c r="Y9" s="8">
        <f>W9</f>
        <v>6942</v>
      </c>
      <c r="Z9" s="1">
        <v>-3500</v>
      </c>
      <c r="AA9" s="18"/>
      <c r="AB9" s="8">
        <f>Z9</f>
        <v>-3500</v>
      </c>
      <c r="AC9" s="22">
        <f>'01_05_OMRI -3500'!B35</f>
        <v>4165</v>
      </c>
      <c r="AD9" s="18"/>
      <c r="AE9" s="1">
        <f>AC9</f>
        <v>4165</v>
      </c>
      <c r="AF9" s="21">
        <f>'01_05_OMRI -3500'!C35</f>
        <v>6942</v>
      </c>
      <c r="AG9" s="18"/>
      <c r="AH9" s="8">
        <f>AF9</f>
        <v>6942</v>
      </c>
      <c r="AI9" s="12">
        <v>-2000</v>
      </c>
      <c r="AJ9" s="18"/>
      <c r="AK9" s="1">
        <f>AI9</f>
        <v>-2000</v>
      </c>
      <c r="AL9" s="22">
        <f>'01_05_OMRI -2000'!B35</f>
        <v>2579</v>
      </c>
      <c r="AM9" s="18"/>
      <c r="AN9" s="1">
        <f>AL9</f>
        <v>2579</v>
      </c>
      <c r="AO9" s="21">
        <f>'01_05_OMRI -2000'!C35</f>
        <v>6942</v>
      </c>
      <c r="AP9" s="18"/>
      <c r="AQ9" s="8">
        <f>AO9</f>
        <v>6942</v>
      </c>
      <c r="AS9" s="16">
        <f t="shared" si="2"/>
        <v>0.54193548387096779</v>
      </c>
      <c r="AT9" s="16">
        <f t="shared" si="3"/>
        <v>0.55553777208706789</v>
      </c>
      <c r="AU9" s="16">
        <f t="shared" si="17"/>
        <v>0.62501125416404069</v>
      </c>
      <c r="AV9" s="16">
        <f t="shared" si="18"/>
        <v>0.72912509190211117</v>
      </c>
    </row>
    <row r="10" spans="1:48" ht="14.4" x14ac:dyDescent="0.55000000000000004">
      <c r="A10" s="9">
        <f t="shared" si="19"/>
        <v>46028</v>
      </c>
      <c r="B10" s="17">
        <f>'01_05_OMRI -2000'!E36</f>
        <v>75535</v>
      </c>
      <c r="C10" s="18"/>
      <c r="D10" s="1">
        <f t="shared" si="22"/>
        <v>75535</v>
      </c>
      <c r="E10" s="17">
        <f>'01_05_OMRI -2000'!D36</f>
        <v>5826</v>
      </c>
      <c r="F10" s="18"/>
      <c r="G10" s="1">
        <f t="shared" ref="G10:G24" si="23">E10</f>
        <v>5826</v>
      </c>
      <c r="H10" s="19">
        <f t="shared" si="6"/>
        <v>-6250</v>
      </c>
      <c r="I10" s="18"/>
      <c r="J10" s="1">
        <f t="shared" ref="J10:J24" si="24">H10</f>
        <v>-6250</v>
      </c>
      <c r="K10" s="20">
        <f>'01_05_OMRI -6250'!B36</f>
        <v>7600</v>
      </c>
      <c r="L10" s="18"/>
      <c r="M10" s="1">
        <f t="shared" ref="M10:M24" si="25">K10</f>
        <v>7600</v>
      </c>
      <c r="N10" s="21">
        <f>'01_05_OMRI -6250'!C36</f>
        <v>8800</v>
      </c>
      <c r="O10" s="18"/>
      <c r="P10" s="8">
        <f t="shared" ref="P10:P24" si="26">N10</f>
        <v>8800</v>
      </c>
      <c r="Q10" s="1">
        <v>-5000</v>
      </c>
      <c r="R10" s="18"/>
      <c r="S10" s="1">
        <f t="shared" si="20"/>
        <v>-5000</v>
      </c>
      <c r="T10" s="17">
        <f>'01_05_OMRI -5000'!B36</f>
        <v>6347</v>
      </c>
      <c r="U10" s="18"/>
      <c r="V10" s="1">
        <f t="shared" si="21"/>
        <v>6347</v>
      </c>
      <c r="W10" s="17">
        <f>'01_05_OMRI -5000'!C36</f>
        <v>6942</v>
      </c>
      <c r="X10" s="18"/>
      <c r="Y10" s="8">
        <f t="shared" ref="Y10:Y24" si="27">W10</f>
        <v>6942</v>
      </c>
      <c r="Z10" s="1">
        <v>-3500</v>
      </c>
      <c r="AA10" s="18"/>
      <c r="AB10" s="8">
        <f t="shared" ref="AB10:AB24" si="28">Z10</f>
        <v>-3500</v>
      </c>
      <c r="AC10" s="22">
        <f>'01_05_OMRI -3500'!B36</f>
        <v>4760</v>
      </c>
      <c r="AD10" s="18"/>
      <c r="AE10" s="1">
        <f t="shared" ref="AE10:AE24" si="29">AC10</f>
        <v>4760</v>
      </c>
      <c r="AF10" s="21">
        <f>'01_05_OMRI -3500'!C36</f>
        <v>6942</v>
      </c>
      <c r="AG10" s="18"/>
      <c r="AH10" s="8">
        <f t="shared" ref="AH10:AH24" si="30">AF10</f>
        <v>6942</v>
      </c>
      <c r="AI10" s="12">
        <v>-2000</v>
      </c>
      <c r="AJ10" s="18"/>
      <c r="AK10" s="1">
        <f t="shared" ref="AK10:AK24" si="31">AI10</f>
        <v>-2000</v>
      </c>
      <c r="AL10" s="22">
        <f>'01_05_OMRI -2000'!B36</f>
        <v>3372</v>
      </c>
      <c r="AM10" s="18"/>
      <c r="AN10" s="1">
        <f t="shared" ref="AN10:AN24" si="32">AL10</f>
        <v>3372</v>
      </c>
      <c r="AO10" s="21">
        <f>'01_05_OMRI -2000'!C36</f>
        <v>6942</v>
      </c>
      <c r="AP10" s="18"/>
      <c r="AQ10" s="8">
        <f t="shared" ref="AQ10:AQ24" si="33">AO10</f>
        <v>6942</v>
      </c>
      <c r="AS10" s="16">
        <f t="shared" si="2"/>
        <v>0.53658536585365857</v>
      </c>
      <c r="AT10" s="16">
        <f t="shared" si="3"/>
        <v>0.52238693656407553</v>
      </c>
      <c r="AU10" s="16">
        <f t="shared" si="17"/>
        <v>0.59323192616646725</v>
      </c>
      <c r="AV10" s="16">
        <f t="shared" si="18"/>
        <v>0.67306573589296104</v>
      </c>
    </row>
    <row r="11" spans="1:48" ht="14.4" x14ac:dyDescent="0.55000000000000004">
      <c r="A11" s="9">
        <f t="shared" si="19"/>
        <v>46029</v>
      </c>
      <c r="B11" s="17">
        <f>'01_05_OMRI -2000'!E37</f>
        <v>74943</v>
      </c>
      <c r="C11" s="18"/>
      <c r="D11" s="1">
        <f t="shared" si="22"/>
        <v>74943</v>
      </c>
      <c r="E11" s="17">
        <f>'01_05_OMRI -2000'!D37</f>
        <v>4254</v>
      </c>
      <c r="F11" s="18"/>
      <c r="G11" s="1">
        <f t="shared" si="23"/>
        <v>4254</v>
      </c>
      <c r="H11" s="19">
        <f t="shared" si="6"/>
        <v>-6250</v>
      </c>
      <c r="I11" s="18"/>
      <c r="J11" s="1">
        <f t="shared" si="24"/>
        <v>-6250</v>
      </c>
      <c r="K11" s="20">
        <f>'01_05_OMRI -6250'!B37</f>
        <v>9800</v>
      </c>
      <c r="L11" s="18"/>
      <c r="M11" s="1">
        <f t="shared" si="25"/>
        <v>9800</v>
      </c>
      <c r="N11" s="21">
        <f>'01_05_OMRI -6250'!C37</f>
        <v>9124</v>
      </c>
      <c r="O11" s="18"/>
      <c r="P11" s="8">
        <f t="shared" si="26"/>
        <v>9124</v>
      </c>
      <c r="Q11" s="1">
        <v>-5000</v>
      </c>
      <c r="R11" s="18"/>
      <c r="S11" s="1">
        <f t="shared" si="20"/>
        <v>-5000</v>
      </c>
      <c r="T11" s="17">
        <f>'01_05_OMRI -5000'!B37</f>
        <v>7537</v>
      </c>
      <c r="U11" s="18"/>
      <c r="V11" s="1">
        <f t="shared" si="21"/>
        <v>7537</v>
      </c>
      <c r="W11" s="17">
        <f>'01_05_OMRI -5000'!C37</f>
        <v>8331</v>
      </c>
      <c r="X11" s="18"/>
      <c r="Y11" s="8">
        <f t="shared" si="27"/>
        <v>8331</v>
      </c>
      <c r="Z11" s="1">
        <v>-3500</v>
      </c>
      <c r="AA11" s="18"/>
      <c r="AB11" s="8">
        <f t="shared" si="28"/>
        <v>-3500</v>
      </c>
      <c r="AC11" s="22">
        <f>'01_05_OMRI -3500'!B37</f>
        <v>5951</v>
      </c>
      <c r="AD11" s="18"/>
      <c r="AE11" s="1">
        <f t="shared" si="29"/>
        <v>5951</v>
      </c>
      <c r="AF11" s="21">
        <f>'01_05_OMRI -3500'!C37</f>
        <v>6942</v>
      </c>
      <c r="AG11" s="18"/>
      <c r="AH11" s="8">
        <f t="shared" si="30"/>
        <v>6942</v>
      </c>
      <c r="AI11" s="12">
        <v>-2000</v>
      </c>
      <c r="AJ11" s="18"/>
      <c r="AK11" s="1">
        <f t="shared" si="31"/>
        <v>-2000</v>
      </c>
      <c r="AL11" s="22">
        <f>'01_05_OMRI -2000'!B37</f>
        <v>4165</v>
      </c>
      <c r="AM11" s="18"/>
      <c r="AN11" s="1">
        <f t="shared" si="32"/>
        <v>4165</v>
      </c>
      <c r="AO11" s="21">
        <f>'01_05_OMRI -2000'!C37</f>
        <v>5355</v>
      </c>
      <c r="AP11" s="18"/>
      <c r="AQ11" s="8">
        <f t="shared" si="33"/>
        <v>5355</v>
      </c>
      <c r="AS11" s="16">
        <f t="shared" si="2"/>
        <v>0.48213908264637495</v>
      </c>
      <c r="AT11" s="16">
        <f t="shared" si="3"/>
        <v>0.52501890597428791</v>
      </c>
      <c r="AU11" s="16">
        <f t="shared" si="17"/>
        <v>0.5384317071278989</v>
      </c>
      <c r="AV11" s="16">
        <f t="shared" si="18"/>
        <v>0.5625</v>
      </c>
    </row>
    <row r="12" spans="1:48" ht="14.4" x14ac:dyDescent="0.55000000000000004">
      <c r="A12" s="9">
        <f t="shared" si="19"/>
        <v>46030</v>
      </c>
      <c r="B12" s="17">
        <f>'01_05_OMRI -2000'!E38</f>
        <v>74302</v>
      </c>
      <c r="C12" s="18"/>
      <c r="D12" s="1">
        <f t="shared" si="22"/>
        <v>74302</v>
      </c>
      <c r="E12" s="17">
        <f>'01_05_OMRI -2000'!D38</f>
        <v>3382</v>
      </c>
      <c r="F12" s="18"/>
      <c r="G12" s="1">
        <f t="shared" si="23"/>
        <v>3382</v>
      </c>
      <c r="H12" s="19">
        <f t="shared" si="6"/>
        <v>-6250</v>
      </c>
      <c r="I12" s="18"/>
      <c r="J12" s="1">
        <f t="shared" si="24"/>
        <v>-6250</v>
      </c>
      <c r="K12" s="20">
        <f>'01_05_OMRI -6250'!B38</f>
        <v>8300</v>
      </c>
      <c r="L12" s="18"/>
      <c r="M12" s="1">
        <f t="shared" si="25"/>
        <v>8300</v>
      </c>
      <c r="N12" s="21">
        <f>'01_05_OMRI -6250'!C38</f>
        <v>9124</v>
      </c>
      <c r="O12" s="18"/>
      <c r="P12" s="8">
        <f t="shared" si="26"/>
        <v>9124</v>
      </c>
      <c r="Q12" s="1">
        <v>-5000</v>
      </c>
      <c r="R12" s="18"/>
      <c r="S12" s="1">
        <f t="shared" si="20"/>
        <v>-5000</v>
      </c>
      <c r="T12" s="17">
        <f>'01_05_OMRI -5000'!B38</f>
        <v>6149</v>
      </c>
      <c r="U12" s="18"/>
      <c r="V12" s="1">
        <f t="shared" si="21"/>
        <v>6149</v>
      </c>
      <c r="W12" s="17">
        <f>'01_05_OMRI -5000'!C38</f>
        <v>8331</v>
      </c>
      <c r="X12" s="18"/>
      <c r="Y12" s="8">
        <f t="shared" si="27"/>
        <v>8331</v>
      </c>
      <c r="Z12" s="1">
        <v>-3500</v>
      </c>
      <c r="AA12" s="18"/>
      <c r="AB12" s="8">
        <f t="shared" si="28"/>
        <v>-3500</v>
      </c>
      <c r="AC12" s="22">
        <f>'01_05_OMRI -3500'!B38</f>
        <v>4165</v>
      </c>
      <c r="AD12" s="18"/>
      <c r="AE12" s="1">
        <f t="shared" si="29"/>
        <v>4165</v>
      </c>
      <c r="AF12" s="21">
        <f>'01_05_OMRI -3500'!C38</f>
        <v>6942</v>
      </c>
      <c r="AG12" s="18"/>
      <c r="AH12" s="8">
        <f t="shared" si="30"/>
        <v>6942</v>
      </c>
      <c r="AI12" s="12">
        <v>-2000</v>
      </c>
      <c r="AJ12" s="18"/>
      <c r="AK12" s="1">
        <f t="shared" si="31"/>
        <v>-2000</v>
      </c>
      <c r="AL12" s="22">
        <f>'01_05_OMRI -2000'!B38</f>
        <v>4364</v>
      </c>
      <c r="AM12" s="18"/>
      <c r="AN12" s="1">
        <f t="shared" si="32"/>
        <v>4364</v>
      </c>
      <c r="AO12" s="21">
        <f>'01_05_OMRI -2000'!C38</f>
        <v>3570</v>
      </c>
      <c r="AP12" s="18"/>
      <c r="AQ12" s="8">
        <f t="shared" si="33"/>
        <v>3570</v>
      </c>
      <c r="AS12" s="16">
        <f t="shared" si="2"/>
        <v>0.52364554637281913</v>
      </c>
      <c r="AT12" s="16">
        <f t="shared" si="3"/>
        <v>0.57534530386740335</v>
      </c>
      <c r="AU12" s="16">
        <f t="shared" si="17"/>
        <v>0.62501125416404069</v>
      </c>
      <c r="AV12" s="16">
        <f t="shared" si="18"/>
        <v>0.44996218805142424</v>
      </c>
    </row>
    <row r="13" spans="1:48" ht="14.4" x14ac:dyDescent="0.55000000000000004">
      <c r="A13" s="9">
        <f t="shared" si="19"/>
        <v>46031</v>
      </c>
      <c r="B13" s="17">
        <f>'01_05_OMRI -2000'!E39</f>
        <v>73450</v>
      </c>
      <c r="C13" s="18"/>
      <c r="D13" s="1">
        <f t="shared" si="22"/>
        <v>73450</v>
      </c>
      <c r="E13" s="17">
        <f>'01_05_OMRI -2000'!D39</f>
        <v>3043</v>
      </c>
      <c r="F13" s="18"/>
      <c r="G13" s="1">
        <f t="shared" si="23"/>
        <v>3043</v>
      </c>
      <c r="H13" s="19">
        <f t="shared" si="6"/>
        <v>-6250</v>
      </c>
      <c r="I13" s="18"/>
      <c r="J13" s="1">
        <f t="shared" si="24"/>
        <v>-6250</v>
      </c>
      <c r="K13" s="20">
        <f>'01_05_OMRI -6250'!B39</f>
        <v>7400</v>
      </c>
      <c r="L13" s="18"/>
      <c r="M13" s="1">
        <f t="shared" si="25"/>
        <v>7400</v>
      </c>
      <c r="N13" s="21">
        <f>'01_05_OMRI -6250'!C39</f>
        <v>9124</v>
      </c>
      <c r="O13" s="18"/>
      <c r="P13" s="8">
        <f t="shared" si="26"/>
        <v>9124</v>
      </c>
      <c r="Q13" s="1">
        <v>-5000</v>
      </c>
      <c r="R13" s="18"/>
      <c r="S13" s="1">
        <f t="shared" si="20"/>
        <v>-5000</v>
      </c>
      <c r="T13" s="17">
        <f>'01_05_OMRI -5000'!B39</f>
        <v>5355</v>
      </c>
      <c r="U13" s="18"/>
      <c r="V13" s="1">
        <f t="shared" si="21"/>
        <v>5355</v>
      </c>
      <c r="W13" s="17">
        <f>'01_05_OMRI -5000'!C39</f>
        <v>8331</v>
      </c>
      <c r="X13" s="18"/>
      <c r="Y13" s="8">
        <f t="shared" si="27"/>
        <v>8331</v>
      </c>
      <c r="Z13" s="1">
        <v>-3500</v>
      </c>
      <c r="AA13" s="18"/>
      <c r="AB13" s="8">
        <f t="shared" si="28"/>
        <v>-3500</v>
      </c>
      <c r="AC13" s="22">
        <f>'01_05_OMRI -3500'!B39</f>
        <v>4959</v>
      </c>
      <c r="AD13" s="18"/>
      <c r="AE13" s="1">
        <f t="shared" si="29"/>
        <v>4959</v>
      </c>
      <c r="AF13" s="21">
        <f>'01_05_OMRI -3500'!C39</f>
        <v>5355</v>
      </c>
      <c r="AG13" s="18"/>
      <c r="AH13" s="8">
        <f t="shared" si="30"/>
        <v>5355</v>
      </c>
      <c r="AI13" s="12">
        <v>-2000</v>
      </c>
      <c r="AJ13" s="18"/>
      <c r="AK13" s="1">
        <f t="shared" si="31"/>
        <v>-2000</v>
      </c>
      <c r="AL13" s="22">
        <f>'01_05_OMRI -2000'!B39</f>
        <v>3570</v>
      </c>
      <c r="AM13" s="18"/>
      <c r="AN13" s="1">
        <f t="shared" si="32"/>
        <v>3570</v>
      </c>
      <c r="AO13" s="21">
        <f>'01_05_OMRI -2000'!C39</f>
        <v>3570</v>
      </c>
      <c r="AP13" s="18"/>
      <c r="AQ13" s="8">
        <f t="shared" si="33"/>
        <v>3570</v>
      </c>
      <c r="AS13" s="16">
        <f t="shared" si="2"/>
        <v>0.55216654563059797</v>
      </c>
      <c r="AT13" s="16">
        <f t="shared" si="3"/>
        <v>0.60872424375274004</v>
      </c>
      <c r="AU13" s="16">
        <f t="shared" si="17"/>
        <v>0.51919720767888311</v>
      </c>
      <c r="AV13" s="16">
        <f t="shared" si="18"/>
        <v>0.5</v>
      </c>
    </row>
    <row r="14" spans="1:48" ht="14.4" x14ac:dyDescent="0.55000000000000004">
      <c r="A14" s="9">
        <f t="shared" si="19"/>
        <v>46032</v>
      </c>
      <c r="B14" s="17">
        <f>'01_05_OMRI -2000'!E40</f>
        <v>72041</v>
      </c>
      <c r="C14" s="18"/>
      <c r="D14" s="1">
        <f t="shared" si="22"/>
        <v>72041</v>
      </c>
      <c r="E14" s="17">
        <f>'01_05_OMRI -2000'!D40</f>
        <v>2500</v>
      </c>
      <c r="F14" s="18"/>
      <c r="G14" s="1">
        <f t="shared" si="23"/>
        <v>2500</v>
      </c>
      <c r="H14" s="19">
        <f t="shared" si="6"/>
        <v>-6250</v>
      </c>
      <c r="I14" s="18"/>
      <c r="J14" s="1">
        <f t="shared" si="24"/>
        <v>-6250</v>
      </c>
      <c r="K14" s="20">
        <f>'01_05_OMRI -6250'!B40</f>
        <v>7100</v>
      </c>
      <c r="L14" s="18"/>
      <c r="M14" s="1">
        <f t="shared" si="25"/>
        <v>7100</v>
      </c>
      <c r="N14" s="21">
        <f>'01_05_OMRI -6250'!C40</f>
        <v>9124</v>
      </c>
      <c r="O14" s="18"/>
      <c r="P14" s="8">
        <f t="shared" si="26"/>
        <v>9124</v>
      </c>
      <c r="Q14" s="1">
        <v>-5000</v>
      </c>
      <c r="R14" s="18"/>
      <c r="S14" s="1">
        <f t="shared" si="20"/>
        <v>-5000</v>
      </c>
      <c r="T14" s="17">
        <f>'01_05_OMRI -5000'!B40</f>
        <v>6347</v>
      </c>
      <c r="U14" s="18"/>
      <c r="V14" s="1">
        <f t="shared" si="21"/>
        <v>6347</v>
      </c>
      <c r="W14" s="17">
        <f>'01_05_OMRI -5000'!C40</f>
        <v>6942</v>
      </c>
      <c r="X14" s="18"/>
      <c r="Y14" s="8">
        <f t="shared" si="27"/>
        <v>6942</v>
      </c>
      <c r="Z14" s="1">
        <v>-3500</v>
      </c>
      <c r="AA14" s="18"/>
      <c r="AB14" s="8">
        <f t="shared" si="28"/>
        <v>-3500</v>
      </c>
      <c r="AC14" s="22">
        <f>'01_05_OMRI -3500'!B40</f>
        <v>4562</v>
      </c>
      <c r="AD14" s="18"/>
      <c r="AE14" s="1">
        <f t="shared" si="29"/>
        <v>4562</v>
      </c>
      <c r="AF14" s="21">
        <f>'01_05_OMRI -3500'!C40</f>
        <v>5355</v>
      </c>
      <c r="AG14" s="18"/>
      <c r="AH14" s="8">
        <f t="shared" si="30"/>
        <v>5355</v>
      </c>
      <c r="AI14" s="12">
        <v>-2000</v>
      </c>
      <c r="AJ14" s="18"/>
      <c r="AK14" s="1">
        <f t="shared" si="31"/>
        <v>-2000</v>
      </c>
      <c r="AL14" s="22">
        <f>'01_05_OMRI -2000'!B40</f>
        <v>3174</v>
      </c>
      <c r="AM14" s="18"/>
      <c r="AN14" s="1">
        <f t="shared" si="32"/>
        <v>3174</v>
      </c>
      <c r="AO14" s="21">
        <f>'01_05_OMRI -2000'!C40</f>
        <v>3570</v>
      </c>
      <c r="AP14" s="18"/>
      <c r="AQ14" s="8">
        <f t="shared" si="33"/>
        <v>3570</v>
      </c>
      <c r="AS14" s="16">
        <f t="shared" si="2"/>
        <v>0.56237672583826426</v>
      </c>
      <c r="AT14" s="16">
        <f t="shared" si="3"/>
        <v>0.52238693656407553</v>
      </c>
      <c r="AU14" s="16">
        <f t="shared" si="17"/>
        <v>0.53998184934960169</v>
      </c>
      <c r="AV14" s="16">
        <f t="shared" si="18"/>
        <v>0.52935943060498225</v>
      </c>
    </row>
    <row r="15" spans="1:48" ht="14.4" x14ac:dyDescent="0.55000000000000004">
      <c r="A15" s="9">
        <f t="shared" si="19"/>
        <v>46033</v>
      </c>
      <c r="B15" s="17">
        <f>'01_05_OMRI -2000'!E41</f>
        <v>70572</v>
      </c>
      <c r="C15" s="18"/>
      <c r="D15" s="1">
        <f t="shared" si="22"/>
        <v>70572</v>
      </c>
      <c r="E15" s="17">
        <f>'01_05_OMRI -2000'!D41</f>
        <v>2000</v>
      </c>
      <c r="F15" s="18"/>
      <c r="G15" s="1">
        <f t="shared" si="23"/>
        <v>2000</v>
      </c>
      <c r="H15" s="19">
        <f t="shared" si="6"/>
        <v>-6250</v>
      </c>
      <c r="I15" s="18"/>
      <c r="J15" s="1">
        <f t="shared" si="24"/>
        <v>-6250</v>
      </c>
      <c r="K15" s="20">
        <f>'01_05_OMRI -6250'!B41</f>
        <v>6500</v>
      </c>
      <c r="L15" s="18"/>
      <c r="M15" s="1">
        <f t="shared" si="25"/>
        <v>6500</v>
      </c>
      <c r="N15" s="21">
        <f>'01_05_OMRI -6250'!C41</f>
        <v>9124</v>
      </c>
      <c r="O15" s="18"/>
      <c r="P15" s="8">
        <f t="shared" si="26"/>
        <v>9124</v>
      </c>
      <c r="Q15" s="1">
        <v>-5000</v>
      </c>
      <c r="R15" s="18"/>
      <c r="S15" s="1">
        <f t="shared" si="20"/>
        <v>-5000</v>
      </c>
      <c r="T15" s="17">
        <f>'01_05_OMRI -5000'!B41</f>
        <v>5752</v>
      </c>
      <c r="U15" s="18"/>
      <c r="V15" s="1">
        <f t="shared" si="21"/>
        <v>5752</v>
      </c>
      <c r="W15" s="17">
        <f>'01_05_OMRI -5000'!C41</f>
        <v>6942</v>
      </c>
      <c r="X15" s="18"/>
      <c r="Y15" s="8">
        <f t="shared" si="27"/>
        <v>6942</v>
      </c>
      <c r="Z15" s="1">
        <v>-3500</v>
      </c>
      <c r="AA15" s="18"/>
      <c r="AB15" s="8">
        <f t="shared" si="28"/>
        <v>-3500</v>
      </c>
      <c r="AC15" s="22">
        <f>'01_05_OMRI -3500'!B41</f>
        <v>4165</v>
      </c>
      <c r="AD15" s="18"/>
      <c r="AE15" s="1">
        <f t="shared" si="29"/>
        <v>4165</v>
      </c>
      <c r="AF15" s="21">
        <f>'01_05_OMRI -3500'!C41</f>
        <v>5355</v>
      </c>
      <c r="AG15" s="18"/>
      <c r="AH15" s="8">
        <f t="shared" si="30"/>
        <v>5355</v>
      </c>
      <c r="AI15" s="12">
        <v>-2000</v>
      </c>
      <c r="AJ15" s="18"/>
      <c r="AK15" s="1">
        <f t="shared" si="31"/>
        <v>-2000</v>
      </c>
      <c r="AL15" s="22">
        <f>'01_05_OMRI -2000'!B41</f>
        <v>2579</v>
      </c>
      <c r="AM15" s="18"/>
      <c r="AN15" s="1">
        <f t="shared" si="32"/>
        <v>2579</v>
      </c>
      <c r="AO15" s="21">
        <f>'01_05_OMRI -2000'!C41</f>
        <v>3570</v>
      </c>
      <c r="AP15" s="18"/>
      <c r="AQ15" s="8">
        <f t="shared" si="33"/>
        <v>3570</v>
      </c>
      <c r="AS15" s="16">
        <f t="shared" si="2"/>
        <v>0.58397337429595497</v>
      </c>
      <c r="AT15" s="16">
        <f t="shared" si="3"/>
        <v>0.54687253820702697</v>
      </c>
      <c r="AU15" s="16">
        <f t="shared" si="17"/>
        <v>0.5625</v>
      </c>
      <c r="AV15" s="16">
        <f t="shared" si="18"/>
        <v>0.58058220848918518</v>
      </c>
    </row>
    <row r="16" spans="1:48" ht="14.4" x14ac:dyDescent="0.55000000000000004">
      <c r="A16" s="9">
        <f t="shared" si="19"/>
        <v>46034</v>
      </c>
      <c r="B16" s="17">
        <f>'01_05_OMRI -2000'!E42</f>
        <v>69004</v>
      </c>
      <c r="C16" s="18"/>
      <c r="D16" s="1">
        <f t="shared" si="22"/>
        <v>69004</v>
      </c>
      <c r="E16" s="17">
        <f>'01_05_OMRI -2000'!D42</f>
        <v>2000</v>
      </c>
      <c r="F16" s="18"/>
      <c r="G16" s="1">
        <f t="shared" si="23"/>
        <v>2000</v>
      </c>
      <c r="H16" s="19">
        <f t="shared" si="6"/>
        <v>-6250</v>
      </c>
      <c r="I16" s="18"/>
      <c r="J16" s="1">
        <f t="shared" si="24"/>
        <v>-6250</v>
      </c>
      <c r="K16" s="20">
        <f>'01_05_OMRI -6250'!B42</f>
        <v>6400</v>
      </c>
      <c r="L16" s="18"/>
      <c r="M16" s="1">
        <f t="shared" si="25"/>
        <v>6400</v>
      </c>
      <c r="N16" s="21">
        <f>'01_05_OMRI -6250'!C42</f>
        <v>8800</v>
      </c>
      <c r="O16" s="18"/>
      <c r="P16" s="8">
        <f t="shared" si="26"/>
        <v>8800</v>
      </c>
      <c r="Q16" s="1">
        <v>-5000</v>
      </c>
      <c r="R16" s="18"/>
      <c r="S16" s="1">
        <f t="shared" si="20"/>
        <v>-5000</v>
      </c>
      <c r="T16" s="17">
        <f>'01_05_OMRI -5000'!B42</f>
        <v>5355</v>
      </c>
      <c r="U16" s="18"/>
      <c r="V16" s="1">
        <f t="shared" si="21"/>
        <v>5355</v>
      </c>
      <c r="W16" s="17">
        <f>'01_05_OMRI -5000'!C42</f>
        <v>6942</v>
      </c>
      <c r="X16" s="18"/>
      <c r="Y16" s="8">
        <f t="shared" si="27"/>
        <v>6942</v>
      </c>
      <c r="Z16" s="1">
        <v>-3500</v>
      </c>
      <c r="AA16" s="18"/>
      <c r="AB16" s="8">
        <f t="shared" si="28"/>
        <v>-3500</v>
      </c>
      <c r="AC16" s="22">
        <f>'01_05_OMRI -3500'!B42</f>
        <v>3570</v>
      </c>
      <c r="AD16" s="18"/>
      <c r="AE16" s="1">
        <f t="shared" si="29"/>
        <v>3570</v>
      </c>
      <c r="AF16" s="21">
        <f>'01_05_OMRI -3500'!C42</f>
        <v>5355</v>
      </c>
      <c r="AG16" s="18"/>
      <c r="AH16" s="8">
        <f t="shared" si="30"/>
        <v>5355</v>
      </c>
      <c r="AI16" s="12">
        <v>-2000</v>
      </c>
      <c r="AJ16" s="18"/>
      <c r="AK16" s="1">
        <f t="shared" si="31"/>
        <v>-2000</v>
      </c>
      <c r="AL16" s="22">
        <f>'01_05_OMRI -2000'!B42</f>
        <v>2182</v>
      </c>
      <c r="AM16" s="18"/>
      <c r="AN16" s="1">
        <f t="shared" si="32"/>
        <v>2182</v>
      </c>
      <c r="AO16" s="21">
        <f>'01_05_OMRI -2000'!C42</f>
        <v>3570</v>
      </c>
      <c r="AP16" s="18"/>
      <c r="AQ16" s="8">
        <f t="shared" si="33"/>
        <v>3570</v>
      </c>
      <c r="AS16" s="16">
        <f t="shared" si="2"/>
        <v>0.57894736842105265</v>
      </c>
      <c r="AT16" s="16">
        <f t="shared" si="3"/>
        <v>0.56452793364235176</v>
      </c>
      <c r="AU16" s="16">
        <f t="shared" si="17"/>
        <v>0.6</v>
      </c>
      <c r="AV16" s="16">
        <f t="shared" si="18"/>
        <v>0.62065368567454793</v>
      </c>
    </row>
    <row r="17" spans="1:48" ht="14.4" x14ac:dyDescent="0.55000000000000004">
      <c r="A17" s="9">
        <f t="shared" si="19"/>
        <v>46035</v>
      </c>
      <c r="B17" s="17">
        <f>'01_05_OMRI -2000'!E43</f>
        <v>66245</v>
      </c>
      <c r="C17" s="18"/>
      <c r="D17" s="1">
        <f t="shared" si="22"/>
        <v>66245</v>
      </c>
      <c r="E17" s="17">
        <f>'01_05_OMRI -2000'!D43</f>
        <v>2000</v>
      </c>
      <c r="F17" s="18"/>
      <c r="G17" s="1">
        <f t="shared" si="23"/>
        <v>2000</v>
      </c>
      <c r="H17" s="19">
        <f t="shared" si="6"/>
        <v>-6250</v>
      </c>
      <c r="I17" s="18"/>
      <c r="J17" s="1">
        <f t="shared" si="24"/>
        <v>-6250</v>
      </c>
      <c r="K17" s="20">
        <f>'01_05_OMRI -6250'!B43</f>
        <v>6400</v>
      </c>
      <c r="L17" s="18"/>
      <c r="M17" s="1">
        <f t="shared" si="25"/>
        <v>6400</v>
      </c>
      <c r="N17" s="21">
        <f>'01_05_OMRI -6250'!C43</f>
        <v>8800</v>
      </c>
      <c r="O17" s="18"/>
      <c r="P17" s="8">
        <f t="shared" si="26"/>
        <v>8800</v>
      </c>
      <c r="Q17" s="1">
        <v>-5000</v>
      </c>
      <c r="R17" s="18"/>
      <c r="S17" s="1">
        <f t="shared" si="20"/>
        <v>-5000</v>
      </c>
      <c r="T17" s="17">
        <f>'01_05_OMRI -5000'!B43</f>
        <v>5355</v>
      </c>
      <c r="U17" s="18"/>
      <c r="V17" s="1">
        <f t="shared" si="21"/>
        <v>5355</v>
      </c>
      <c r="W17" s="17">
        <f>'01_05_OMRI -5000'!C43</f>
        <v>6942</v>
      </c>
      <c r="X17" s="18"/>
      <c r="Y17" s="8">
        <f t="shared" si="27"/>
        <v>6942</v>
      </c>
      <c r="Z17" s="1">
        <v>-3500</v>
      </c>
      <c r="AA17" s="18"/>
      <c r="AB17" s="8">
        <f t="shared" si="28"/>
        <v>-3500</v>
      </c>
      <c r="AC17" s="22">
        <f>'01_05_OMRI -3500'!B43</f>
        <v>3570</v>
      </c>
      <c r="AD17" s="18"/>
      <c r="AE17" s="1">
        <f t="shared" si="29"/>
        <v>3570</v>
      </c>
      <c r="AF17" s="21">
        <f>'01_05_OMRI -3500'!C43</f>
        <v>5355</v>
      </c>
      <c r="AG17" s="18"/>
      <c r="AH17" s="8">
        <f t="shared" si="30"/>
        <v>5355</v>
      </c>
      <c r="AI17" s="12">
        <v>-2000</v>
      </c>
      <c r="AJ17" s="18"/>
      <c r="AK17" s="1">
        <f t="shared" si="31"/>
        <v>-2000</v>
      </c>
      <c r="AL17" s="22">
        <f>'01_05_OMRI -2000'!B43</f>
        <v>2182</v>
      </c>
      <c r="AM17" s="18"/>
      <c r="AN17" s="1">
        <f t="shared" si="32"/>
        <v>2182</v>
      </c>
      <c r="AO17" s="21">
        <f>'01_05_OMRI -2000'!C43</f>
        <v>3570</v>
      </c>
      <c r="AP17" s="18"/>
      <c r="AQ17" s="8">
        <f t="shared" si="33"/>
        <v>3570</v>
      </c>
      <c r="AS17" s="16">
        <f t="shared" si="2"/>
        <v>0.57894736842105265</v>
      </c>
      <c r="AT17" s="16">
        <f t="shared" si="3"/>
        <v>0.56452793364235176</v>
      </c>
      <c r="AU17" s="16">
        <f t="shared" si="17"/>
        <v>0.6</v>
      </c>
      <c r="AV17" s="16">
        <f t="shared" si="18"/>
        <v>0.62065368567454793</v>
      </c>
    </row>
    <row r="18" spans="1:48" ht="14.4" x14ac:dyDescent="0.55000000000000004">
      <c r="A18" s="9">
        <f t="shared" si="19"/>
        <v>46036</v>
      </c>
      <c r="B18" s="17">
        <f>'01_05_OMRI -2000'!E44</f>
        <v>62756</v>
      </c>
      <c r="C18" s="18"/>
      <c r="D18" s="1">
        <f t="shared" si="22"/>
        <v>62756</v>
      </c>
      <c r="E18" s="17">
        <f>'01_05_OMRI -2000'!D44</f>
        <v>2000</v>
      </c>
      <c r="F18" s="18"/>
      <c r="G18" s="1">
        <f t="shared" si="23"/>
        <v>2000</v>
      </c>
      <c r="H18" s="19">
        <f t="shared" si="6"/>
        <v>-6250</v>
      </c>
      <c r="I18" s="18"/>
      <c r="J18" s="1">
        <f t="shared" si="24"/>
        <v>-6250</v>
      </c>
      <c r="K18" s="20">
        <f>'01_05_OMRI -6250'!B44</f>
        <v>6400</v>
      </c>
      <c r="L18" s="18"/>
      <c r="M18" s="1">
        <f t="shared" si="25"/>
        <v>6400</v>
      </c>
      <c r="N18" s="21">
        <f>'01_05_OMRI -6250'!C44</f>
        <v>8800</v>
      </c>
      <c r="O18" s="18"/>
      <c r="P18" s="8">
        <f t="shared" si="26"/>
        <v>8800</v>
      </c>
      <c r="Q18" s="1">
        <v>-5000</v>
      </c>
      <c r="R18" s="18"/>
      <c r="S18" s="1">
        <f t="shared" si="20"/>
        <v>-5000</v>
      </c>
      <c r="T18" s="17">
        <f>'01_05_OMRI -5000'!B44</f>
        <v>5355</v>
      </c>
      <c r="U18" s="18"/>
      <c r="V18" s="1">
        <f t="shared" si="21"/>
        <v>5355</v>
      </c>
      <c r="W18" s="17">
        <f>'01_05_OMRI -5000'!C44</f>
        <v>6942</v>
      </c>
      <c r="X18" s="18"/>
      <c r="Y18" s="8">
        <f t="shared" si="27"/>
        <v>6942</v>
      </c>
      <c r="Z18" s="1">
        <v>-3500</v>
      </c>
      <c r="AA18" s="18"/>
      <c r="AB18" s="8">
        <f t="shared" si="28"/>
        <v>-3500</v>
      </c>
      <c r="AC18" s="22">
        <f>'01_05_OMRI -3500'!B44</f>
        <v>3570</v>
      </c>
      <c r="AD18" s="18"/>
      <c r="AE18" s="1">
        <f t="shared" si="29"/>
        <v>3570</v>
      </c>
      <c r="AF18" s="21">
        <f>'01_05_OMRI -3500'!C44</f>
        <v>5355</v>
      </c>
      <c r="AG18" s="18"/>
      <c r="AH18" s="8">
        <f t="shared" si="30"/>
        <v>5355</v>
      </c>
      <c r="AI18" s="12">
        <v>-2000</v>
      </c>
      <c r="AJ18" s="18"/>
      <c r="AK18" s="1">
        <f t="shared" si="31"/>
        <v>-2000</v>
      </c>
      <c r="AL18" s="22">
        <f>'01_05_OMRI -2000'!B44</f>
        <v>2182</v>
      </c>
      <c r="AM18" s="18"/>
      <c r="AN18" s="1">
        <f t="shared" si="32"/>
        <v>2182</v>
      </c>
      <c r="AO18" s="21">
        <f>'01_05_OMRI -2000'!C44</f>
        <v>3570</v>
      </c>
      <c r="AP18" s="18"/>
      <c r="AQ18" s="8">
        <f t="shared" si="33"/>
        <v>3570</v>
      </c>
      <c r="AS18" s="16">
        <f t="shared" si="2"/>
        <v>0.57894736842105265</v>
      </c>
      <c r="AT18" s="16">
        <f t="shared" si="3"/>
        <v>0.56452793364235176</v>
      </c>
      <c r="AU18" s="16">
        <f t="shared" si="17"/>
        <v>0.6</v>
      </c>
      <c r="AV18" s="16">
        <f t="shared" si="18"/>
        <v>0.62065368567454793</v>
      </c>
    </row>
    <row r="19" spans="1:48" ht="14.4" x14ac:dyDescent="0.55000000000000004">
      <c r="A19" s="9">
        <f t="shared" si="19"/>
        <v>46037</v>
      </c>
      <c r="B19" s="17">
        <f>'01_05_OMRI -2000'!E45</f>
        <v>62756</v>
      </c>
      <c r="C19" s="18"/>
      <c r="D19" s="1">
        <f t="shared" si="22"/>
        <v>62756</v>
      </c>
      <c r="E19" s="17">
        <f>'01_05_OMRI -2000'!D45</f>
        <v>2000</v>
      </c>
      <c r="F19" s="18"/>
      <c r="G19" s="1">
        <f t="shared" si="23"/>
        <v>2000</v>
      </c>
      <c r="H19" s="19">
        <f t="shared" si="6"/>
        <v>-6250</v>
      </c>
      <c r="I19" s="18"/>
      <c r="J19" s="1">
        <f t="shared" si="24"/>
        <v>-6250</v>
      </c>
      <c r="K19" s="20">
        <f>'01_05_OMRI -6250'!B45</f>
        <v>6400</v>
      </c>
      <c r="L19" s="18"/>
      <c r="M19" s="1">
        <f t="shared" si="25"/>
        <v>6400</v>
      </c>
      <c r="N19" s="21">
        <f>'01_05_OMRI -6250'!C45</f>
        <v>8800</v>
      </c>
      <c r="O19" s="18"/>
      <c r="P19" s="8">
        <f t="shared" si="26"/>
        <v>8800</v>
      </c>
      <c r="Q19" s="1">
        <v>-5000</v>
      </c>
      <c r="R19" s="18"/>
      <c r="S19" s="1">
        <f t="shared" si="20"/>
        <v>-5000</v>
      </c>
      <c r="T19" s="17">
        <f>'01_05_OMRI -5000'!B45</f>
        <v>5355</v>
      </c>
      <c r="U19" s="18"/>
      <c r="V19" s="1">
        <f t="shared" si="21"/>
        <v>5355</v>
      </c>
      <c r="W19" s="17">
        <f>'01_05_OMRI -5000'!C45</f>
        <v>6942</v>
      </c>
      <c r="X19" s="18"/>
      <c r="Y19" s="8">
        <f t="shared" si="27"/>
        <v>6942</v>
      </c>
      <c r="Z19" s="1">
        <v>-3500</v>
      </c>
      <c r="AA19" s="18"/>
      <c r="AB19" s="8">
        <f t="shared" si="28"/>
        <v>-3500</v>
      </c>
      <c r="AC19" s="22">
        <f>'01_05_OMRI -3500'!B45</f>
        <v>3570</v>
      </c>
      <c r="AD19" s="18"/>
      <c r="AE19" s="1">
        <f t="shared" si="29"/>
        <v>3570</v>
      </c>
      <c r="AF19" s="21">
        <f>'01_05_OMRI -3500'!C45</f>
        <v>5355</v>
      </c>
      <c r="AG19" s="18"/>
      <c r="AH19" s="8">
        <f t="shared" si="30"/>
        <v>5355</v>
      </c>
      <c r="AI19" s="12">
        <v>-2000</v>
      </c>
      <c r="AJ19" s="18"/>
      <c r="AK19" s="1">
        <f t="shared" si="31"/>
        <v>-2000</v>
      </c>
      <c r="AL19" s="22">
        <f>'01_05_OMRI -2000'!B45</f>
        <v>2182</v>
      </c>
      <c r="AM19" s="18"/>
      <c r="AN19" s="1">
        <f t="shared" si="32"/>
        <v>2182</v>
      </c>
      <c r="AO19" s="21">
        <f>'01_05_OMRI -2000'!C45</f>
        <v>3570</v>
      </c>
      <c r="AP19" s="18"/>
      <c r="AQ19" s="8">
        <f t="shared" si="33"/>
        <v>3570</v>
      </c>
      <c r="AS19" s="16">
        <f t="shared" si="2"/>
        <v>0.57894736842105265</v>
      </c>
      <c r="AT19" s="16">
        <f t="shared" si="3"/>
        <v>0.56452793364235176</v>
      </c>
      <c r="AU19" s="16">
        <f t="shared" si="17"/>
        <v>0.6</v>
      </c>
      <c r="AV19" s="16">
        <f t="shared" si="18"/>
        <v>0.62065368567454793</v>
      </c>
    </row>
    <row r="20" spans="1:48" ht="14.4" x14ac:dyDescent="0.55000000000000004">
      <c r="A20" s="9">
        <f t="shared" si="19"/>
        <v>46038</v>
      </c>
      <c r="B20" s="17">
        <f>'01_05_OMRI -2000'!E46</f>
        <v>62756</v>
      </c>
      <c r="C20" s="18"/>
      <c r="D20" s="1">
        <f t="shared" si="22"/>
        <v>62756</v>
      </c>
      <c r="E20" s="17">
        <f>'01_05_OMRI -2000'!D46</f>
        <v>2000</v>
      </c>
      <c r="F20" s="18"/>
      <c r="G20" s="1">
        <f t="shared" si="23"/>
        <v>2000</v>
      </c>
      <c r="H20" s="19">
        <f t="shared" si="6"/>
        <v>-6250</v>
      </c>
      <c r="I20" s="18"/>
      <c r="J20" s="1">
        <f t="shared" si="24"/>
        <v>-6250</v>
      </c>
      <c r="K20" s="20">
        <f>'01_05_OMRI -6250'!B46</f>
        <v>6400</v>
      </c>
      <c r="L20" s="18"/>
      <c r="M20" s="1">
        <f t="shared" si="25"/>
        <v>6400</v>
      </c>
      <c r="N20" s="21">
        <f>'01_05_OMRI -6250'!C46</f>
        <v>8800</v>
      </c>
      <c r="O20" s="18"/>
      <c r="P20" s="8">
        <f t="shared" si="26"/>
        <v>8800</v>
      </c>
      <c r="Q20" s="1">
        <v>-5000</v>
      </c>
      <c r="R20" s="18"/>
      <c r="S20" s="1">
        <f t="shared" si="20"/>
        <v>-5000</v>
      </c>
      <c r="T20" s="17">
        <f>'01_05_OMRI -5000'!B46</f>
        <v>5355</v>
      </c>
      <c r="U20" s="18"/>
      <c r="V20" s="1">
        <f t="shared" si="21"/>
        <v>5355</v>
      </c>
      <c r="W20" s="17">
        <f>'01_05_OMRI -5000'!C46</f>
        <v>6942</v>
      </c>
      <c r="X20" s="18"/>
      <c r="Y20" s="8">
        <f t="shared" si="27"/>
        <v>6942</v>
      </c>
      <c r="Z20" s="1">
        <v>-3500</v>
      </c>
      <c r="AA20" s="18"/>
      <c r="AB20" s="8">
        <f t="shared" si="28"/>
        <v>-3500</v>
      </c>
      <c r="AC20" s="22">
        <f>'01_05_OMRI -3500'!B46</f>
        <v>3570</v>
      </c>
      <c r="AD20" s="18"/>
      <c r="AE20" s="1">
        <f t="shared" si="29"/>
        <v>3570</v>
      </c>
      <c r="AF20" s="21">
        <f>'01_05_OMRI -3500'!C46</f>
        <v>5355</v>
      </c>
      <c r="AG20" s="18"/>
      <c r="AH20" s="8">
        <f t="shared" si="30"/>
        <v>5355</v>
      </c>
      <c r="AI20" s="12">
        <v>-2000</v>
      </c>
      <c r="AJ20" s="18"/>
      <c r="AK20" s="1">
        <f t="shared" si="31"/>
        <v>-2000</v>
      </c>
      <c r="AL20" s="22">
        <f>'01_05_OMRI -2000'!B46</f>
        <v>2182</v>
      </c>
      <c r="AM20" s="18"/>
      <c r="AN20" s="1">
        <f t="shared" si="32"/>
        <v>2182</v>
      </c>
      <c r="AO20" s="21">
        <f>'01_05_OMRI -2000'!C46</f>
        <v>3570</v>
      </c>
      <c r="AP20" s="18"/>
      <c r="AQ20" s="8">
        <f t="shared" si="33"/>
        <v>3570</v>
      </c>
      <c r="AS20" s="16">
        <f t="shared" si="2"/>
        <v>0.57894736842105265</v>
      </c>
      <c r="AT20" s="16">
        <f t="shared" si="3"/>
        <v>0.56452793364235176</v>
      </c>
      <c r="AU20" s="16">
        <f t="shared" si="17"/>
        <v>0.6</v>
      </c>
      <c r="AV20" s="16">
        <f t="shared" si="18"/>
        <v>0.62065368567454793</v>
      </c>
    </row>
    <row r="21" spans="1:48" ht="14.4" x14ac:dyDescent="0.55000000000000004">
      <c r="A21" s="9">
        <f t="shared" si="19"/>
        <v>46039</v>
      </c>
      <c r="B21" s="17">
        <f>'01_05_OMRI -2000'!E47</f>
        <v>62756</v>
      </c>
      <c r="C21" s="18"/>
      <c r="D21" s="1">
        <f t="shared" si="22"/>
        <v>62756</v>
      </c>
      <c r="E21" s="17">
        <f>'01_05_OMRI -2000'!D47</f>
        <v>2000</v>
      </c>
      <c r="F21" s="18"/>
      <c r="G21" s="1">
        <f t="shared" si="23"/>
        <v>2000</v>
      </c>
      <c r="H21" s="19">
        <f t="shared" si="6"/>
        <v>-6250</v>
      </c>
      <c r="I21" s="18"/>
      <c r="J21" s="1">
        <f t="shared" si="24"/>
        <v>-6250</v>
      </c>
      <c r="K21" s="20">
        <f>'01_05_OMRI -6250'!B47</f>
        <v>6400</v>
      </c>
      <c r="L21" s="18"/>
      <c r="M21" s="1">
        <f t="shared" si="25"/>
        <v>6400</v>
      </c>
      <c r="N21" s="21">
        <f>'01_05_OMRI -6250'!C47</f>
        <v>8800</v>
      </c>
      <c r="O21" s="18"/>
      <c r="P21" s="8">
        <f t="shared" si="26"/>
        <v>8800</v>
      </c>
      <c r="Q21" s="1">
        <v>-5000</v>
      </c>
      <c r="R21" s="18"/>
      <c r="S21" s="1">
        <f t="shared" si="20"/>
        <v>-5000</v>
      </c>
      <c r="T21" s="17">
        <f>'01_05_OMRI -5000'!B47</f>
        <v>5355</v>
      </c>
      <c r="U21" s="18"/>
      <c r="V21" s="1">
        <f t="shared" si="21"/>
        <v>5355</v>
      </c>
      <c r="W21" s="17">
        <f>'01_05_OMRI -5000'!C47</f>
        <v>6942</v>
      </c>
      <c r="X21" s="18"/>
      <c r="Y21" s="8">
        <f t="shared" si="27"/>
        <v>6942</v>
      </c>
      <c r="Z21" s="1">
        <v>-3500</v>
      </c>
      <c r="AA21" s="18"/>
      <c r="AB21" s="8">
        <f t="shared" si="28"/>
        <v>-3500</v>
      </c>
      <c r="AC21" s="22">
        <f>'01_05_OMRI -3500'!B47</f>
        <v>3570</v>
      </c>
      <c r="AD21" s="18"/>
      <c r="AE21" s="1">
        <f t="shared" si="29"/>
        <v>3570</v>
      </c>
      <c r="AF21" s="21">
        <f>'01_05_OMRI -3500'!C47</f>
        <v>5355</v>
      </c>
      <c r="AG21" s="18"/>
      <c r="AH21" s="8">
        <f t="shared" si="30"/>
        <v>5355</v>
      </c>
      <c r="AI21" s="12">
        <v>-2000</v>
      </c>
      <c r="AJ21" s="18"/>
      <c r="AK21" s="1">
        <f t="shared" si="31"/>
        <v>-2000</v>
      </c>
      <c r="AL21" s="22">
        <f>'01_05_OMRI -2000'!B47</f>
        <v>2182</v>
      </c>
      <c r="AM21" s="18"/>
      <c r="AN21" s="1">
        <f t="shared" si="32"/>
        <v>2182</v>
      </c>
      <c r="AO21" s="21">
        <f>'01_05_OMRI -2000'!C47</f>
        <v>3570</v>
      </c>
      <c r="AP21" s="18"/>
      <c r="AQ21" s="8">
        <f t="shared" si="33"/>
        <v>3570</v>
      </c>
      <c r="AS21" s="16">
        <f t="shared" si="2"/>
        <v>0.57894736842105265</v>
      </c>
      <c r="AT21" s="16">
        <f t="shared" si="3"/>
        <v>0.56452793364235176</v>
      </c>
      <c r="AU21" s="16">
        <f t="shared" si="17"/>
        <v>0.6</v>
      </c>
      <c r="AV21" s="16">
        <f t="shared" si="18"/>
        <v>0.62065368567454793</v>
      </c>
    </row>
    <row r="22" spans="1:48" ht="14.4" x14ac:dyDescent="0.55000000000000004">
      <c r="A22" s="9">
        <f t="shared" si="19"/>
        <v>46040</v>
      </c>
      <c r="B22" s="17">
        <f>'01_05_OMRI -2000'!E48</f>
        <v>62756</v>
      </c>
      <c r="C22" s="18"/>
      <c r="D22" s="1">
        <f t="shared" si="22"/>
        <v>62756</v>
      </c>
      <c r="E22" s="17">
        <f>'01_05_OMRI -2000'!D48</f>
        <v>2000</v>
      </c>
      <c r="F22" s="18"/>
      <c r="G22" s="1">
        <f t="shared" si="23"/>
        <v>2000</v>
      </c>
      <c r="H22" s="19">
        <f t="shared" si="6"/>
        <v>-6250</v>
      </c>
      <c r="I22" s="18"/>
      <c r="J22" s="1">
        <f t="shared" si="24"/>
        <v>-6250</v>
      </c>
      <c r="K22" s="20">
        <f>'01_05_OMRI -6250'!B48</f>
        <v>6400</v>
      </c>
      <c r="L22" s="18"/>
      <c r="M22" s="1">
        <f t="shared" si="25"/>
        <v>6400</v>
      </c>
      <c r="N22" s="21">
        <f>'01_05_OMRI -6250'!C48</f>
        <v>8800</v>
      </c>
      <c r="O22" s="18"/>
      <c r="P22" s="8">
        <f t="shared" si="26"/>
        <v>8800</v>
      </c>
      <c r="Q22" s="1">
        <v>-5000</v>
      </c>
      <c r="R22" s="18"/>
      <c r="S22" s="1">
        <f t="shared" si="20"/>
        <v>-5000</v>
      </c>
      <c r="T22" s="17">
        <f>'01_05_OMRI -5000'!B48</f>
        <v>5355</v>
      </c>
      <c r="U22" s="18"/>
      <c r="V22" s="1">
        <f t="shared" si="21"/>
        <v>5355</v>
      </c>
      <c r="W22" s="17">
        <f>'01_05_OMRI -5000'!C48</f>
        <v>6942</v>
      </c>
      <c r="X22" s="18"/>
      <c r="Y22" s="8">
        <f t="shared" si="27"/>
        <v>6942</v>
      </c>
      <c r="Z22" s="1">
        <v>-3500</v>
      </c>
      <c r="AA22" s="18"/>
      <c r="AB22" s="8">
        <f t="shared" si="28"/>
        <v>-3500</v>
      </c>
      <c r="AC22" s="22">
        <f>'01_05_OMRI -3500'!B48</f>
        <v>3570</v>
      </c>
      <c r="AD22" s="18"/>
      <c r="AE22" s="1">
        <f t="shared" si="29"/>
        <v>3570</v>
      </c>
      <c r="AF22" s="21">
        <f>'01_05_OMRI -3500'!C48</f>
        <v>5355</v>
      </c>
      <c r="AG22" s="18"/>
      <c r="AH22" s="8">
        <f t="shared" si="30"/>
        <v>5355</v>
      </c>
      <c r="AI22" s="12">
        <v>-2000</v>
      </c>
      <c r="AJ22" s="18"/>
      <c r="AK22" s="1">
        <f t="shared" si="31"/>
        <v>-2000</v>
      </c>
      <c r="AL22" s="22">
        <f>'01_05_OMRI -2000'!B48</f>
        <v>2182</v>
      </c>
      <c r="AM22" s="18"/>
      <c r="AN22" s="1">
        <f t="shared" si="32"/>
        <v>2182</v>
      </c>
      <c r="AO22" s="21">
        <f>'01_05_OMRI -2000'!C48</f>
        <v>3570</v>
      </c>
      <c r="AP22" s="18"/>
      <c r="AQ22" s="8">
        <f t="shared" si="33"/>
        <v>3570</v>
      </c>
      <c r="AS22" s="16">
        <f t="shared" si="2"/>
        <v>0.57894736842105265</v>
      </c>
      <c r="AT22" s="16">
        <f t="shared" si="3"/>
        <v>0.56452793364235176</v>
      </c>
      <c r="AU22" s="16">
        <f t="shared" si="17"/>
        <v>0.6</v>
      </c>
      <c r="AV22" s="16">
        <f t="shared" si="18"/>
        <v>0.62065368567454793</v>
      </c>
    </row>
    <row r="23" spans="1:48" ht="14.4" x14ac:dyDescent="0.55000000000000004">
      <c r="A23" s="9">
        <f t="shared" si="19"/>
        <v>46041</v>
      </c>
      <c r="B23" s="17">
        <f>'01_05_OMRI -2000'!E49</f>
        <v>62756</v>
      </c>
      <c r="C23" s="18"/>
      <c r="D23" s="1">
        <f t="shared" si="22"/>
        <v>62756</v>
      </c>
      <c r="E23" s="17">
        <f>'01_05_OMRI -2000'!D49</f>
        <v>2000</v>
      </c>
      <c r="F23" s="18"/>
      <c r="G23" s="1">
        <f t="shared" si="23"/>
        <v>2000</v>
      </c>
      <c r="H23" s="19">
        <f t="shared" si="6"/>
        <v>-6250</v>
      </c>
      <c r="I23" s="18"/>
      <c r="J23" s="1">
        <f t="shared" si="24"/>
        <v>-6250</v>
      </c>
      <c r="K23" s="20">
        <f>'01_05_OMRI -6250'!B49</f>
        <v>6400</v>
      </c>
      <c r="L23" s="18"/>
      <c r="M23" s="1">
        <f t="shared" si="25"/>
        <v>6400</v>
      </c>
      <c r="N23" s="21">
        <f>'01_05_OMRI -6250'!C49</f>
        <v>8800</v>
      </c>
      <c r="O23" s="18"/>
      <c r="P23" s="8">
        <f t="shared" si="26"/>
        <v>8800</v>
      </c>
      <c r="Q23" s="1">
        <v>-5000</v>
      </c>
      <c r="R23" s="18"/>
      <c r="S23" s="1">
        <f t="shared" si="20"/>
        <v>-5000</v>
      </c>
      <c r="T23" s="17">
        <f>'01_05_OMRI -5000'!B49</f>
        <v>5355</v>
      </c>
      <c r="U23" s="18"/>
      <c r="V23" s="1">
        <f t="shared" si="21"/>
        <v>5355</v>
      </c>
      <c r="W23" s="17">
        <f>'01_05_OMRI -5000'!C49</f>
        <v>6942</v>
      </c>
      <c r="X23" s="18"/>
      <c r="Y23" s="8">
        <f t="shared" si="27"/>
        <v>6942</v>
      </c>
      <c r="Z23" s="1">
        <v>-3500</v>
      </c>
      <c r="AA23" s="18"/>
      <c r="AB23" s="8">
        <f t="shared" si="28"/>
        <v>-3500</v>
      </c>
      <c r="AC23" s="22">
        <f>'01_05_OMRI -3500'!B49</f>
        <v>3570</v>
      </c>
      <c r="AD23" s="18"/>
      <c r="AE23" s="1">
        <f t="shared" si="29"/>
        <v>3570</v>
      </c>
      <c r="AF23" s="21">
        <f>'01_05_OMRI -3500'!C49</f>
        <v>5355</v>
      </c>
      <c r="AG23" s="18"/>
      <c r="AH23" s="8">
        <f t="shared" si="30"/>
        <v>5355</v>
      </c>
      <c r="AI23" s="12">
        <v>-2000</v>
      </c>
      <c r="AJ23" s="18"/>
      <c r="AK23" s="1">
        <f t="shared" si="31"/>
        <v>-2000</v>
      </c>
      <c r="AL23" s="22">
        <f>'01_05_OMRI -2000'!B49</f>
        <v>2182</v>
      </c>
      <c r="AM23" s="18"/>
      <c r="AN23" s="1">
        <f t="shared" si="32"/>
        <v>2182</v>
      </c>
      <c r="AO23" s="21">
        <f>'01_05_OMRI -2000'!C49</f>
        <v>3570</v>
      </c>
      <c r="AP23" s="18"/>
      <c r="AQ23" s="8">
        <f t="shared" si="33"/>
        <v>3570</v>
      </c>
      <c r="AS23" s="16">
        <f t="shared" si="2"/>
        <v>0.57894736842105265</v>
      </c>
      <c r="AT23" s="16">
        <f t="shared" si="3"/>
        <v>0.56452793364235176</v>
      </c>
      <c r="AU23" s="16">
        <f t="shared" si="17"/>
        <v>0.6</v>
      </c>
      <c r="AV23" s="16">
        <f t="shared" si="18"/>
        <v>0.62065368567454793</v>
      </c>
    </row>
    <row r="24" spans="1:48" ht="14.7" thickBot="1" x14ac:dyDescent="0.6">
      <c r="A24" s="9">
        <f t="shared" si="19"/>
        <v>46042</v>
      </c>
      <c r="B24" s="17">
        <f>'01_05_OMRI -2000'!E50</f>
        <v>62756</v>
      </c>
      <c r="C24" s="18"/>
      <c r="D24" s="1">
        <f t="shared" si="22"/>
        <v>62756</v>
      </c>
      <c r="E24" s="17">
        <f>'01_05_OMRI -2000'!D50</f>
        <v>2000</v>
      </c>
      <c r="F24" s="18"/>
      <c r="G24" s="1">
        <f t="shared" si="23"/>
        <v>2000</v>
      </c>
      <c r="H24" s="19">
        <f t="shared" si="6"/>
        <v>-6250</v>
      </c>
      <c r="I24" s="23"/>
      <c r="J24" s="24">
        <f t="shared" si="24"/>
        <v>-6250</v>
      </c>
      <c r="K24" s="20">
        <f>'01_05_OMRI -6250'!B50</f>
        <v>6400</v>
      </c>
      <c r="L24" s="23"/>
      <c r="M24" s="24">
        <f t="shared" si="25"/>
        <v>6400</v>
      </c>
      <c r="N24" s="21">
        <f>'01_05_OMRI -6250'!C50</f>
        <v>8800</v>
      </c>
      <c r="O24" s="23"/>
      <c r="P24" s="25">
        <f t="shared" si="26"/>
        <v>8800</v>
      </c>
      <c r="Q24" s="1">
        <v>-5000</v>
      </c>
      <c r="R24" s="23"/>
      <c r="S24" s="24">
        <f t="shared" si="20"/>
        <v>-5000</v>
      </c>
      <c r="T24" s="26">
        <f>'01_05_OMRI -5000'!B50</f>
        <v>5355</v>
      </c>
      <c r="U24" s="23"/>
      <c r="V24" s="24">
        <f t="shared" si="21"/>
        <v>5355</v>
      </c>
      <c r="W24" s="26">
        <f>'01_05_OMRI -5000'!C50</f>
        <v>6942</v>
      </c>
      <c r="X24" s="23"/>
      <c r="Y24" s="25">
        <f t="shared" si="27"/>
        <v>6942</v>
      </c>
      <c r="Z24" s="1">
        <v>-3500</v>
      </c>
      <c r="AA24" s="23"/>
      <c r="AB24" s="25">
        <f t="shared" si="28"/>
        <v>-3500</v>
      </c>
      <c r="AC24" s="27">
        <f>'01_05_OMRI -3500'!B50</f>
        <v>3570</v>
      </c>
      <c r="AD24" s="23"/>
      <c r="AE24" s="24">
        <f t="shared" si="29"/>
        <v>3570</v>
      </c>
      <c r="AF24" s="21">
        <f>'01_05_OMRI -3500'!C50</f>
        <v>5355</v>
      </c>
      <c r="AG24" s="23"/>
      <c r="AH24" s="25">
        <f t="shared" si="30"/>
        <v>5355</v>
      </c>
      <c r="AI24" s="12">
        <v>-2000</v>
      </c>
      <c r="AJ24" s="23"/>
      <c r="AK24" s="24">
        <f t="shared" si="31"/>
        <v>-2000</v>
      </c>
      <c r="AL24" s="27">
        <f>'01_05_OMRI -2000'!B50</f>
        <v>2182</v>
      </c>
      <c r="AM24" s="23"/>
      <c r="AN24" s="24">
        <f t="shared" si="32"/>
        <v>2182</v>
      </c>
      <c r="AO24" s="28">
        <f>'01_05_OMRI -2000'!C50</f>
        <v>3570</v>
      </c>
      <c r="AP24" s="23"/>
      <c r="AQ24" s="25">
        <f t="shared" si="33"/>
        <v>3570</v>
      </c>
      <c r="AS24" s="16">
        <f t="shared" si="2"/>
        <v>0.57894736842105265</v>
      </c>
      <c r="AT24" s="16">
        <f t="shared" si="3"/>
        <v>0.56452793364235176</v>
      </c>
      <c r="AU24" s="16">
        <f t="shared" si="17"/>
        <v>0.6</v>
      </c>
      <c r="AV24" s="16">
        <f t="shared" si="18"/>
        <v>0.62065368567454793</v>
      </c>
    </row>
    <row r="25" spans="1:48" ht="14.4" x14ac:dyDescent="0.55000000000000004">
      <c r="K25" s="1">
        <f>AVERAGE(K3:K24)</f>
        <v>6809.090909090909</v>
      </c>
      <c r="N25" s="1">
        <f>AVERAGE(N3:N24)</f>
        <v>8746.363636363636</v>
      </c>
      <c r="T25" s="1">
        <f>AVERAGE(T3:T24)</f>
        <v>5235.363636363636</v>
      </c>
      <c r="W25" s="1">
        <f>AVERAGE(W3:W24)</f>
        <v>7005.727272727273</v>
      </c>
      <c r="AC25" s="1">
        <f>AVERAGE(AC3:AC24)</f>
        <v>4036.318181818182</v>
      </c>
      <c r="AF25" s="1">
        <f>AVERAGE(AF3:AF24)</f>
        <v>5950.681818181818</v>
      </c>
      <c r="AL25" s="1">
        <f>AVERAGE(AL3:AL24)</f>
        <v>3062.8636363636365</v>
      </c>
      <c r="AO25" s="1">
        <f>AVERAGE(AO3:AO24)</f>
        <v>4751.636363636364</v>
      </c>
      <c r="AS25" s="16"/>
    </row>
    <row r="27" spans="1:48" x14ac:dyDescent="0.4">
      <c r="E27" s="2" t="s">
        <v>14</v>
      </c>
    </row>
    <row r="28" spans="1:48" ht="12.6" customHeight="1" x14ac:dyDescent="0.4">
      <c r="S28" s="52"/>
      <c r="T28" s="52"/>
      <c r="U28" s="52"/>
      <c r="V28" s="52"/>
      <c r="W28" s="52"/>
      <c r="X28" s="52"/>
      <c r="Y28" s="52"/>
      <c r="Z28" s="52"/>
    </row>
    <row r="29" spans="1:48" x14ac:dyDescent="0.4">
      <c r="S29" s="42"/>
      <c r="T29" s="42"/>
      <c r="U29" s="42"/>
      <c r="V29" s="42"/>
      <c r="W29" s="42"/>
      <c r="X29" s="42"/>
    </row>
    <row r="30" spans="1:48" x14ac:dyDescent="0.4">
      <c r="S30" s="43"/>
      <c r="T30" s="44"/>
      <c r="U30" s="43"/>
      <c r="V30" s="44"/>
      <c r="W30" s="44"/>
      <c r="X30" s="44"/>
    </row>
    <row r="31" spans="1:48" ht="14.4" x14ac:dyDescent="0.55000000000000004">
      <c r="S31" s="45"/>
      <c r="T31" s="45"/>
      <c r="U31" s="45"/>
      <c r="V31" s="45"/>
      <c r="W31" s="45"/>
      <c r="X31" s="45"/>
    </row>
    <row r="33" spans="18:30" ht="12.6" thickBot="1" x14ac:dyDescent="0.45">
      <c r="Z33" s="4" t="s">
        <v>52</v>
      </c>
    </row>
    <row r="34" spans="18:30" ht="12.6" thickBot="1" x14ac:dyDescent="0.45">
      <c r="S34" s="29"/>
      <c r="T34" s="57" t="s">
        <v>17</v>
      </c>
      <c r="U34" s="58"/>
      <c r="V34" s="57" t="s">
        <v>18</v>
      </c>
      <c r="W34" s="58"/>
      <c r="X34" s="58"/>
      <c r="Z34" s="42"/>
      <c r="AA34" s="42"/>
      <c r="AB34" s="54" t="s">
        <v>17</v>
      </c>
      <c r="AC34" s="1" t="s">
        <v>51</v>
      </c>
      <c r="AD34" s="55" t="s">
        <v>18</v>
      </c>
    </row>
    <row r="35" spans="18:30" x14ac:dyDescent="0.4">
      <c r="R35" s="1" t="s">
        <v>25</v>
      </c>
      <c r="S35" s="53" t="str">
        <f>_xlfn.CONCAT(R35," (",TEXT(A3,"mm/dd/yyyy")," - ",TEXT(A9,"mm/dd/yyyy"),")")</f>
        <v>Week 1 (12/30/2025 - 01/05/2026)</v>
      </c>
      <c r="T35" s="59">
        <f>AVERAGE(B3:B9)</f>
        <v>62193.142857142855</v>
      </c>
      <c r="U35" s="60" t="str">
        <f>IF(T35&lt;=$AB$35,$AC$35,IF(T35&gt;=$AB$37,$AC$37,$AC$36))</f>
        <v>hi</v>
      </c>
      <c r="V35" s="59">
        <f>AVERAGE(E3:E9)</f>
        <v>2320.5714285714284</v>
      </c>
      <c r="W35" s="60" t="str">
        <f>IF(V35&lt;=$AD$35,$AC$35,IF(V35&gt;=$AD$37,$AC$37,$AC$36))</f>
        <v>med</v>
      </c>
      <c r="X35" s="58" t="str">
        <f>_xlfn.CONCAT(U35,W35)</f>
        <v>himed</v>
      </c>
      <c r="Z35" s="44"/>
      <c r="AA35" s="44" t="s">
        <v>49</v>
      </c>
      <c r="AB35" s="1">
        <v>13145</v>
      </c>
      <c r="AC35" s="1" t="s">
        <v>48</v>
      </c>
      <c r="AD35" s="1">
        <v>1983</v>
      </c>
    </row>
    <row r="36" spans="18:30" ht="14.4" x14ac:dyDescent="0.55000000000000004">
      <c r="R36" s="1" t="s">
        <v>26</v>
      </c>
      <c r="S36" s="53" t="str">
        <f>_xlfn.CONCAT(R36," (",TEXT(A10,"mm/dd/yyyy")," - ",TEXT(A16,"mm/dd/yyyy"),")")</f>
        <v>Week 2 (01/06/2026 - 01/12/2026)</v>
      </c>
      <c r="T36" s="59">
        <f>AVERAGE(B10:B16)</f>
        <v>72835.28571428571</v>
      </c>
      <c r="U36" s="60" t="str">
        <f>IF(T36&lt;=$AB$35,$AC$35,IF(T36&gt;=$AB$37,$AC$37,$AC$36))</f>
        <v>hi</v>
      </c>
      <c r="V36" s="59">
        <f>AVERAGE(E10:E16)</f>
        <v>3286.4285714285716</v>
      </c>
      <c r="W36" s="60" t="str">
        <f>IF(V36&lt;=$AD$35,$AC$35,IF(V36&gt;=$AD$37,$AC$37,$AC$36))</f>
        <v>med</v>
      </c>
      <c r="X36" s="58" t="str">
        <f>_xlfn.CONCAT(U36,W36)</f>
        <v>himed</v>
      </c>
      <c r="Z36" s="45"/>
      <c r="AA36" s="45"/>
      <c r="AB36" s="1">
        <v>24725</v>
      </c>
      <c r="AC36" s="1" t="s">
        <v>19</v>
      </c>
      <c r="AD36" s="1">
        <v>4096</v>
      </c>
    </row>
    <row r="37" spans="18:30" x14ac:dyDescent="0.4">
      <c r="R37" s="1" t="s">
        <v>27</v>
      </c>
      <c r="S37" s="53" t="str">
        <f>_xlfn.CONCAT(R37," (",TEXT(A17,"mm/dd/yyyy")," - ",TEXT(A23,"mm/dd/yyyy"),")")</f>
        <v>Week 3 (01/13/2026 - 01/19/2026)</v>
      </c>
      <c r="T37" s="59">
        <f>AVERAGE(B18:B24)</f>
        <v>62756</v>
      </c>
      <c r="U37" s="60" t="str">
        <f>IF(T37&lt;=$AB$35,$AC$35,IF(T37&gt;=$AB$37,$AC$37,$AC$36))</f>
        <v>hi</v>
      </c>
      <c r="V37" s="59">
        <f>AVERAGE(E18:E24)</f>
        <v>2000</v>
      </c>
      <c r="W37" s="60" t="str">
        <f>IF(V37&lt;=$AD$35,$AC$35,IF(V37&gt;=$AD$37,$AC$37,$AC$36))</f>
        <v>med</v>
      </c>
      <c r="X37" s="58" t="str">
        <f>_xlfn.CONCAT(U37,W37)</f>
        <v>himed</v>
      </c>
      <c r="AA37" s="56" t="s">
        <v>50</v>
      </c>
      <c r="AB37" s="1">
        <v>24726</v>
      </c>
      <c r="AC37" s="1" t="s">
        <v>20</v>
      </c>
      <c r="AD37" s="1">
        <v>4097</v>
      </c>
    </row>
    <row r="40" spans="18:30" ht="12.6" thickBot="1" x14ac:dyDescent="0.45"/>
    <row r="41" spans="18:30" ht="34.5" thickBot="1" x14ac:dyDescent="0.45">
      <c r="S41" s="30"/>
      <c r="T41" s="31" t="s">
        <v>21</v>
      </c>
      <c r="U41" s="32" t="s">
        <v>15</v>
      </c>
      <c r="V41" s="33" t="s">
        <v>16</v>
      </c>
      <c r="W41" s="32" t="s">
        <v>22</v>
      </c>
      <c r="X41" s="32" t="s">
        <v>23</v>
      </c>
      <c r="Y41" s="32" t="s">
        <v>24</v>
      </c>
      <c r="Z41" s="34"/>
    </row>
    <row r="42" spans="18:30" ht="12.6" thickBot="1" x14ac:dyDescent="0.45">
      <c r="S42" s="46" t="s">
        <v>25</v>
      </c>
      <c r="T42" s="35">
        <v>-6250</v>
      </c>
      <c r="U42" s="36">
        <f>AVERAGE(N3:N9)</f>
        <v>8400</v>
      </c>
      <c r="V42" s="36">
        <f>AVERAGE(K3:K9)</f>
        <v>6500</v>
      </c>
      <c r="W42" s="36">
        <f>V42+U42</f>
        <v>14900</v>
      </c>
      <c r="X42" s="37">
        <f>U42/(U42+V42)</f>
        <v>0.56375838926174493</v>
      </c>
      <c r="Y42" s="38">
        <f>V42/(V42+U42)</f>
        <v>0.43624161073825501</v>
      </c>
      <c r="Z42" s="39"/>
    </row>
    <row r="43" spans="18:30" ht="12.6" thickBot="1" x14ac:dyDescent="0.45">
      <c r="S43" s="47"/>
      <c r="T43" s="35">
        <v>-5000</v>
      </c>
      <c r="U43" s="36">
        <f>AVERAGE(W3:W9)</f>
        <v>6547</v>
      </c>
      <c r="V43" s="36">
        <f>AVERAGE(T3:T9)</f>
        <v>4213.7142857142853</v>
      </c>
      <c r="W43" s="36">
        <f t="shared" ref="W43:W53" si="34">V43+U43</f>
        <v>10760.714285714286</v>
      </c>
      <c r="X43" s="37">
        <f t="shared" ref="X43:X53" si="35">U43/(U43+V43)</f>
        <v>0.60841686027215403</v>
      </c>
      <c r="Y43" s="38">
        <f t="shared" ref="Y43:Y53" si="36">V43/(V43+U43)</f>
        <v>0.39158313972784592</v>
      </c>
      <c r="Z43" s="39"/>
    </row>
    <row r="44" spans="18:30" ht="12.6" thickBot="1" x14ac:dyDescent="0.45">
      <c r="S44" s="47"/>
      <c r="T44" s="35">
        <v>-3250</v>
      </c>
      <c r="U44" s="36">
        <f>AVERAGE(AF3:AF9)</f>
        <v>6547</v>
      </c>
      <c r="V44" s="36">
        <f>AVERAGE(AC3:AC9)</f>
        <v>4015.2857142857142</v>
      </c>
      <c r="W44" s="36">
        <f t="shared" si="34"/>
        <v>10562.285714285714</v>
      </c>
      <c r="X44" s="37">
        <f t="shared" si="35"/>
        <v>0.61984689461155595</v>
      </c>
      <c r="Y44" s="38">
        <f t="shared" si="36"/>
        <v>0.38015310538844405</v>
      </c>
      <c r="Z44" s="39"/>
    </row>
    <row r="45" spans="18:30" ht="12.6" thickBot="1" x14ac:dyDescent="0.45">
      <c r="S45" s="48"/>
      <c r="T45" s="35">
        <v>-2000</v>
      </c>
      <c r="U45" s="36">
        <f>AVERAGE(AO3:AO9)</f>
        <v>6547</v>
      </c>
      <c r="V45" s="36">
        <f>AVERAGE(AL3:AL9)</f>
        <v>3788.7142857142858</v>
      </c>
      <c r="W45" s="36">
        <f t="shared" si="34"/>
        <v>10335.714285714286</v>
      </c>
      <c r="X45" s="37">
        <f t="shared" si="35"/>
        <v>0.63343469246717343</v>
      </c>
      <c r="Y45" s="38">
        <f t="shared" si="36"/>
        <v>0.36656530753282651</v>
      </c>
      <c r="Z45" s="39"/>
    </row>
    <row r="46" spans="18:30" ht="12.6" thickBot="1" x14ac:dyDescent="0.45">
      <c r="S46" s="46" t="s">
        <v>26</v>
      </c>
      <c r="T46" s="35">
        <v>-6250</v>
      </c>
      <c r="U46" s="36">
        <f>AVERAGE(N10:N16)</f>
        <v>9031.4285714285706</v>
      </c>
      <c r="V46" s="36">
        <f>AVERAGE(K10:K16)</f>
        <v>7585.7142857142853</v>
      </c>
      <c r="W46" s="36">
        <f t="shared" si="34"/>
        <v>16617.142857142855</v>
      </c>
      <c r="X46" s="37">
        <f t="shared" si="35"/>
        <v>0.54350068775790927</v>
      </c>
      <c r="Y46" s="38">
        <f t="shared" si="36"/>
        <v>0.45649931224209084</v>
      </c>
      <c r="Z46" s="39"/>
    </row>
    <row r="47" spans="18:30" ht="12.6" thickBot="1" x14ac:dyDescent="0.45">
      <c r="S47" s="47"/>
      <c r="T47" s="35">
        <v>-5000</v>
      </c>
      <c r="U47" s="36">
        <f>AVERAGE(W10:W16)</f>
        <v>7537.2857142857147</v>
      </c>
      <c r="V47" s="36">
        <f>AVERAGE(T10:T16)</f>
        <v>6120.2857142857147</v>
      </c>
      <c r="W47" s="36">
        <f t="shared" si="34"/>
        <v>13657.571428571429</v>
      </c>
      <c r="X47" s="37">
        <f t="shared" si="35"/>
        <v>0.5518759871552148</v>
      </c>
      <c r="Y47" s="38">
        <f t="shared" si="36"/>
        <v>0.4481240128447852</v>
      </c>
      <c r="Z47" s="39"/>
    </row>
    <row r="48" spans="18:30" ht="12.6" thickBot="1" x14ac:dyDescent="0.45">
      <c r="S48" s="47"/>
      <c r="T48" s="35">
        <v>-3250</v>
      </c>
      <c r="U48" s="36">
        <f>AVERAGE(AF10:AF16)</f>
        <v>6035.1428571428569</v>
      </c>
      <c r="V48" s="36">
        <f>AVERAGE(AC10:AC16)</f>
        <v>4590.2857142857147</v>
      </c>
      <c r="W48" s="36">
        <f t="shared" si="34"/>
        <v>10625.428571428572</v>
      </c>
      <c r="X48" s="37">
        <f t="shared" si="35"/>
        <v>0.5679905348355696</v>
      </c>
      <c r="Y48" s="38">
        <f t="shared" si="36"/>
        <v>0.43200946516443034</v>
      </c>
      <c r="Z48" s="39"/>
    </row>
    <row r="49" spans="19:26" ht="12.6" thickBot="1" x14ac:dyDescent="0.45">
      <c r="S49" s="48"/>
      <c r="T49" s="35">
        <v>-2000</v>
      </c>
      <c r="U49" s="36">
        <f>AVERAGE(AO10:AO16)</f>
        <v>4306.7142857142853</v>
      </c>
      <c r="V49" s="36">
        <f>AVERAGE(AL10:AL16)</f>
        <v>3343.7142857142858</v>
      </c>
      <c r="W49" s="36">
        <f t="shared" si="34"/>
        <v>7650.4285714285706</v>
      </c>
      <c r="X49" s="37">
        <f t="shared" si="35"/>
        <v>0.56293765055178979</v>
      </c>
      <c r="Y49" s="38">
        <f t="shared" si="36"/>
        <v>0.43706234944821026</v>
      </c>
      <c r="Z49" s="39"/>
    </row>
    <row r="50" spans="19:26" ht="12.6" thickBot="1" x14ac:dyDescent="0.45">
      <c r="S50" s="46" t="s">
        <v>27</v>
      </c>
      <c r="T50" s="35">
        <v>-6250</v>
      </c>
      <c r="U50" s="36">
        <f>AVERAGE(N18:N24)</f>
        <v>8800</v>
      </c>
      <c r="V50" s="36">
        <f>AVERAGE(K18:K24)</f>
        <v>6400</v>
      </c>
      <c r="W50" s="36">
        <f t="shared" si="34"/>
        <v>15200</v>
      </c>
      <c r="X50" s="37">
        <f t="shared" si="35"/>
        <v>0.57894736842105265</v>
      </c>
      <c r="Y50" s="38">
        <f t="shared" si="36"/>
        <v>0.42105263157894735</v>
      </c>
      <c r="Z50" s="39"/>
    </row>
    <row r="51" spans="19:26" ht="12.6" thickBot="1" x14ac:dyDescent="0.45">
      <c r="S51" s="47"/>
      <c r="T51" s="35">
        <v>-5000</v>
      </c>
      <c r="U51" s="36">
        <f>AVERAGE(N19:N25)</f>
        <v>8792.3376623376626</v>
      </c>
      <c r="V51" s="36">
        <f>AVERAGE(T18:T24)</f>
        <v>5355</v>
      </c>
      <c r="W51" s="36">
        <f t="shared" si="34"/>
        <v>14147.337662337663</v>
      </c>
      <c r="X51" s="37">
        <f t="shared" si="35"/>
        <v>0.62148355204274131</v>
      </c>
      <c r="Y51" s="38">
        <f t="shared" si="36"/>
        <v>0.37851644795725869</v>
      </c>
      <c r="Z51" s="39"/>
    </row>
    <row r="52" spans="19:26" ht="12.6" thickBot="1" x14ac:dyDescent="0.45">
      <c r="S52" s="47"/>
      <c r="T52" s="35">
        <v>-3250</v>
      </c>
      <c r="U52" s="36">
        <f>AVERAGE(N20:N26)</f>
        <v>8791.060606060606</v>
      </c>
      <c r="V52" s="36">
        <f>AVERAGE(AC18:AC24)</f>
        <v>3570</v>
      </c>
      <c r="W52" s="36">
        <f t="shared" si="34"/>
        <v>12361.060606060606</v>
      </c>
      <c r="X52" s="37">
        <f t="shared" si="35"/>
        <v>0.71118983121483648</v>
      </c>
      <c r="Y52" s="38">
        <f t="shared" si="36"/>
        <v>0.28881016878516358</v>
      </c>
      <c r="Z52" s="39"/>
    </row>
    <row r="53" spans="19:26" ht="12.6" thickBot="1" x14ac:dyDescent="0.45">
      <c r="S53" s="48"/>
      <c r="T53" s="35">
        <v>-2000</v>
      </c>
      <c r="U53" s="36">
        <f>AVERAGE(N21:N27)</f>
        <v>8789.2727272727261</v>
      </c>
      <c r="V53" s="36">
        <f>AVERAGE(AL18:AL24)</f>
        <v>2182</v>
      </c>
      <c r="W53" s="36">
        <f t="shared" si="34"/>
        <v>10971.272727272726</v>
      </c>
      <c r="X53" s="37">
        <f t="shared" si="35"/>
        <v>0.8011169666235789</v>
      </c>
      <c r="Y53" s="38">
        <f t="shared" si="36"/>
        <v>0.19888303337642108</v>
      </c>
      <c r="Z53" s="39"/>
    </row>
    <row r="54" spans="19:26" x14ac:dyDescent="0.4">
      <c r="S54" s="40"/>
    </row>
    <row r="55" spans="19:26" x14ac:dyDescent="0.4">
      <c r="S55" s="40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0"/>
  <sheetViews>
    <sheetView workbookViewId="0">
      <selection activeCell="A29" sqref="A29"/>
    </sheetView>
  </sheetViews>
  <sheetFormatPr defaultRowHeight="14.4" x14ac:dyDescent="0.55000000000000004"/>
  <cols>
    <col min="1" max="1" width="15.26171875" bestFit="1" customWidth="1"/>
  </cols>
  <sheetData>
    <row r="1" spans="1:13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55000000000000004">
      <c r="A2" s="41">
        <v>46027</v>
      </c>
      <c r="B2" t="s">
        <v>35</v>
      </c>
      <c r="C2" t="s">
        <v>35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36</v>
      </c>
    </row>
    <row r="3" spans="1:13" x14ac:dyDescent="0.55000000000000004">
      <c r="A3" t="s">
        <v>37</v>
      </c>
      <c r="B3" t="s">
        <v>38</v>
      </c>
      <c r="C3" t="s">
        <v>39</v>
      </c>
      <c r="D3" t="s">
        <v>28</v>
      </c>
      <c r="E3" t="s">
        <v>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</row>
    <row r="4" spans="1:13" x14ac:dyDescent="0.55000000000000004">
      <c r="A4" s="41">
        <v>45996</v>
      </c>
      <c r="B4">
        <v>3964</v>
      </c>
      <c r="C4">
        <v>1807</v>
      </c>
      <c r="D4">
        <v>1210</v>
      </c>
      <c r="E4">
        <v>11078</v>
      </c>
      <c r="F4">
        <v>21</v>
      </c>
      <c r="G4">
        <v>278</v>
      </c>
      <c r="H4">
        <v>61</v>
      </c>
      <c r="I4">
        <v>0</v>
      </c>
      <c r="J4">
        <v>0</v>
      </c>
      <c r="K4" t="s">
        <v>46</v>
      </c>
    </row>
    <row r="5" spans="1:13" x14ac:dyDescent="0.55000000000000004">
      <c r="A5" s="41">
        <v>45997</v>
      </c>
      <c r="B5">
        <v>3964</v>
      </c>
      <c r="C5">
        <v>1844</v>
      </c>
      <c r="D5">
        <v>1190</v>
      </c>
      <c r="E5">
        <v>10520</v>
      </c>
      <c r="F5">
        <v>24</v>
      </c>
      <c r="G5">
        <v>279</v>
      </c>
      <c r="H5">
        <v>60</v>
      </c>
      <c r="I5">
        <v>0</v>
      </c>
      <c r="J5">
        <v>0</v>
      </c>
      <c r="K5" t="s">
        <v>46</v>
      </c>
    </row>
    <row r="6" spans="1:13" x14ac:dyDescent="0.55000000000000004">
      <c r="A6" s="41">
        <v>45998</v>
      </c>
      <c r="B6">
        <v>3942</v>
      </c>
      <c r="C6">
        <v>1929</v>
      </c>
      <c r="D6">
        <v>1170</v>
      </c>
      <c r="E6">
        <v>10610</v>
      </c>
      <c r="F6">
        <v>24</v>
      </c>
      <c r="G6">
        <v>277</v>
      </c>
      <c r="H6">
        <v>60</v>
      </c>
      <c r="I6">
        <v>0</v>
      </c>
      <c r="J6">
        <v>0</v>
      </c>
      <c r="K6" t="s">
        <v>46</v>
      </c>
    </row>
    <row r="7" spans="1:13" x14ac:dyDescent="0.55000000000000004">
      <c r="A7" s="41">
        <v>45999</v>
      </c>
      <c r="B7">
        <v>3961</v>
      </c>
      <c r="C7">
        <v>1927</v>
      </c>
      <c r="D7">
        <v>1165</v>
      </c>
      <c r="E7">
        <v>10336</v>
      </c>
      <c r="F7">
        <v>24</v>
      </c>
      <c r="G7">
        <v>279</v>
      </c>
      <c r="H7">
        <v>62</v>
      </c>
      <c r="I7">
        <v>0</v>
      </c>
      <c r="J7">
        <v>0</v>
      </c>
      <c r="K7" t="s">
        <v>46</v>
      </c>
    </row>
    <row r="8" spans="1:13" x14ac:dyDescent="0.55000000000000004">
      <c r="A8" s="41">
        <v>46000</v>
      </c>
      <c r="B8">
        <v>3910</v>
      </c>
      <c r="C8">
        <v>1927</v>
      </c>
      <c r="D8">
        <v>1228</v>
      </c>
      <c r="E8">
        <v>10524</v>
      </c>
      <c r="F8">
        <v>24</v>
      </c>
      <c r="G8">
        <v>281</v>
      </c>
      <c r="H8">
        <v>61</v>
      </c>
      <c r="I8">
        <v>0</v>
      </c>
      <c r="J8">
        <v>0</v>
      </c>
      <c r="K8" t="s">
        <v>46</v>
      </c>
    </row>
    <row r="9" spans="1:13" x14ac:dyDescent="0.55000000000000004">
      <c r="A9" s="41">
        <v>46001</v>
      </c>
      <c r="B9">
        <v>3961</v>
      </c>
      <c r="C9">
        <v>1893</v>
      </c>
      <c r="D9">
        <v>1250</v>
      </c>
      <c r="E9">
        <v>10464</v>
      </c>
      <c r="F9">
        <v>24</v>
      </c>
      <c r="G9">
        <v>292</v>
      </c>
      <c r="H9">
        <v>60</v>
      </c>
      <c r="I9">
        <v>0</v>
      </c>
      <c r="J9">
        <v>0</v>
      </c>
      <c r="K9" t="s">
        <v>46</v>
      </c>
    </row>
    <row r="10" spans="1:13" x14ac:dyDescent="0.55000000000000004">
      <c r="A10" s="41">
        <v>46002</v>
      </c>
      <c r="B10">
        <v>3929</v>
      </c>
      <c r="C10">
        <v>1915</v>
      </c>
      <c r="D10">
        <v>1235</v>
      </c>
      <c r="E10">
        <v>10393</v>
      </c>
      <c r="F10">
        <v>24</v>
      </c>
      <c r="G10">
        <v>280</v>
      </c>
      <c r="H10">
        <v>60</v>
      </c>
      <c r="I10">
        <v>0</v>
      </c>
      <c r="J10">
        <v>0</v>
      </c>
      <c r="K10" t="s">
        <v>46</v>
      </c>
    </row>
    <row r="11" spans="1:13" x14ac:dyDescent="0.55000000000000004">
      <c r="A11" s="41">
        <v>46003</v>
      </c>
      <c r="B11">
        <v>3952</v>
      </c>
      <c r="C11">
        <v>1915</v>
      </c>
      <c r="D11">
        <v>1161</v>
      </c>
      <c r="E11">
        <v>10195</v>
      </c>
      <c r="F11">
        <v>24</v>
      </c>
      <c r="G11">
        <v>284</v>
      </c>
      <c r="H11">
        <v>59</v>
      </c>
      <c r="I11">
        <v>0</v>
      </c>
      <c r="J11">
        <v>0</v>
      </c>
      <c r="K11" t="s">
        <v>46</v>
      </c>
    </row>
    <row r="12" spans="1:13" x14ac:dyDescent="0.55000000000000004">
      <c r="A12" s="41">
        <v>46004</v>
      </c>
      <c r="B12">
        <v>3956</v>
      </c>
      <c r="C12">
        <v>1919</v>
      </c>
      <c r="D12">
        <v>1133</v>
      </c>
      <c r="E12">
        <v>9935</v>
      </c>
      <c r="F12">
        <v>24</v>
      </c>
      <c r="G12">
        <v>312</v>
      </c>
      <c r="H12">
        <v>59</v>
      </c>
      <c r="I12">
        <v>0</v>
      </c>
      <c r="J12">
        <v>0</v>
      </c>
      <c r="K12" t="s">
        <v>46</v>
      </c>
    </row>
    <row r="13" spans="1:13" x14ac:dyDescent="0.55000000000000004">
      <c r="A13" s="41">
        <v>46005</v>
      </c>
      <c r="B13">
        <v>3963</v>
      </c>
      <c r="C13">
        <v>1922</v>
      </c>
      <c r="D13">
        <v>1125</v>
      </c>
      <c r="E13">
        <v>9724</v>
      </c>
      <c r="F13">
        <v>24</v>
      </c>
      <c r="G13">
        <v>319</v>
      </c>
      <c r="H13">
        <v>58</v>
      </c>
      <c r="I13">
        <v>0</v>
      </c>
      <c r="J13">
        <v>0</v>
      </c>
      <c r="K13" t="s">
        <v>46</v>
      </c>
    </row>
    <row r="14" spans="1:13" x14ac:dyDescent="0.55000000000000004">
      <c r="A14" s="41">
        <v>46006</v>
      </c>
      <c r="B14">
        <v>3960</v>
      </c>
      <c r="C14">
        <v>1829</v>
      </c>
      <c r="D14">
        <v>1121</v>
      </c>
      <c r="E14">
        <v>9847</v>
      </c>
      <c r="F14">
        <v>24</v>
      </c>
      <c r="G14">
        <v>290</v>
      </c>
      <c r="H14">
        <v>57</v>
      </c>
      <c r="I14">
        <v>0</v>
      </c>
      <c r="J14">
        <v>0</v>
      </c>
      <c r="K14" t="s">
        <v>46</v>
      </c>
    </row>
    <row r="15" spans="1:13" x14ac:dyDescent="0.55000000000000004">
      <c r="A15" s="41">
        <v>46007</v>
      </c>
      <c r="B15">
        <v>3172</v>
      </c>
      <c r="C15">
        <v>1922</v>
      </c>
      <c r="D15">
        <v>1096</v>
      </c>
      <c r="E15">
        <v>10204</v>
      </c>
      <c r="F15">
        <v>24</v>
      </c>
      <c r="G15">
        <v>269</v>
      </c>
      <c r="H15">
        <v>57</v>
      </c>
      <c r="I15">
        <v>0</v>
      </c>
      <c r="J15">
        <v>0</v>
      </c>
      <c r="K15" t="s">
        <v>46</v>
      </c>
    </row>
    <row r="16" spans="1:13" x14ac:dyDescent="0.55000000000000004">
      <c r="A16" s="41">
        <v>46008</v>
      </c>
      <c r="B16">
        <v>3147</v>
      </c>
      <c r="C16">
        <v>1924</v>
      </c>
      <c r="D16">
        <v>1071</v>
      </c>
      <c r="E16">
        <v>10492</v>
      </c>
      <c r="F16">
        <v>24</v>
      </c>
      <c r="G16">
        <v>280</v>
      </c>
      <c r="H16">
        <v>59</v>
      </c>
      <c r="I16">
        <v>0</v>
      </c>
      <c r="J16">
        <v>0</v>
      </c>
      <c r="K16" t="s">
        <v>46</v>
      </c>
    </row>
    <row r="17" spans="1:11" x14ac:dyDescent="0.55000000000000004">
      <c r="A17" s="41">
        <v>46009</v>
      </c>
      <c r="B17">
        <v>3965</v>
      </c>
      <c r="C17">
        <v>1927</v>
      </c>
      <c r="D17">
        <v>1092</v>
      </c>
      <c r="E17">
        <v>10806</v>
      </c>
      <c r="F17">
        <v>24</v>
      </c>
      <c r="G17">
        <v>284</v>
      </c>
      <c r="H17">
        <v>68</v>
      </c>
      <c r="I17">
        <v>0</v>
      </c>
      <c r="J17">
        <v>0</v>
      </c>
      <c r="K17" t="s">
        <v>46</v>
      </c>
    </row>
    <row r="18" spans="1:11" x14ac:dyDescent="0.55000000000000004">
      <c r="A18" s="41">
        <v>46010</v>
      </c>
      <c r="B18">
        <v>5931</v>
      </c>
      <c r="C18">
        <v>1949</v>
      </c>
      <c r="D18">
        <v>1747</v>
      </c>
      <c r="E18">
        <v>11679</v>
      </c>
      <c r="F18">
        <v>91</v>
      </c>
      <c r="G18">
        <v>281</v>
      </c>
      <c r="H18">
        <v>90</v>
      </c>
      <c r="I18">
        <v>0</v>
      </c>
      <c r="J18">
        <v>0</v>
      </c>
      <c r="K18" t="s">
        <v>46</v>
      </c>
    </row>
    <row r="19" spans="1:11" x14ac:dyDescent="0.55000000000000004">
      <c r="A19" s="41">
        <v>46011</v>
      </c>
      <c r="B19">
        <v>10880</v>
      </c>
      <c r="C19">
        <v>5275</v>
      </c>
      <c r="D19">
        <v>3558</v>
      </c>
      <c r="E19">
        <v>13236</v>
      </c>
      <c r="F19">
        <v>150</v>
      </c>
      <c r="G19">
        <v>281</v>
      </c>
      <c r="H19">
        <v>96</v>
      </c>
      <c r="I19">
        <v>0</v>
      </c>
      <c r="J19">
        <v>0</v>
      </c>
      <c r="K19" t="s">
        <v>46</v>
      </c>
    </row>
    <row r="20" spans="1:11" x14ac:dyDescent="0.55000000000000004">
      <c r="A20" s="41">
        <v>46012</v>
      </c>
      <c r="B20">
        <v>12873</v>
      </c>
      <c r="C20">
        <v>6992</v>
      </c>
      <c r="D20">
        <v>4848</v>
      </c>
      <c r="E20">
        <v>18038</v>
      </c>
      <c r="F20">
        <v>150</v>
      </c>
      <c r="G20">
        <v>283</v>
      </c>
      <c r="H20">
        <v>166</v>
      </c>
      <c r="I20">
        <v>0</v>
      </c>
      <c r="J20">
        <v>0</v>
      </c>
      <c r="K20" t="s">
        <v>46</v>
      </c>
    </row>
    <row r="21" spans="1:11" x14ac:dyDescent="0.55000000000000004">
      <c r="A21" s="41">
        <v>46013</v>
      </c>
      <c r="B21">
        <v>10892</v>
      </c>
      <c r="C21">
        <v>7004</v>
      </c>
      <c r="D21">
        <v>5822</v>
      </c>
      <c r="E21">
        <v>20977</v>
      </c>
      <c r="F21">
        <v>150</v>
      </c>
      <c r="G21">
        <v>304</v>
      </c>
      <c r="H21">
        <v>539</v>
      </c>
      <c r="I21">
        <v>0</v>
      </c>
      <c r="J21">
        <v>0</v>
      </c>
      <c r="K21" t="s">
        <v>46</v>
      </c>
    </row>
    <row r="22" spans="1:11" x14ac:dyDescent="0.55000000000000004">
      <c r="A22" s="41">
        <v>46014</v>
      </c>
      <c r="B22">
        <v>14865</v>
      </c>
      <c r="C22">
        <v>8224</v>
      </c>
      <c r="D22">
        <v>6068</v>
      </c>
      <c r="E22">
        <v>33157</v>
      </c>
      <c r="F22">
        <v>151</v>
      </c>
      <c r="G22">
        <v>281</v>
      </c>
      <c r="H22">
        <v>1043</v>
      </c>
      <c r="I22">
        <v>0</v>
      </c>
      <c r="J22">
        <v>0</v>
      </c>
      <c r="K22" t="s">
        <v>46</v>
      </c>
    </row>
    <row r="23" spans="1:11" x14ac:dyDescent="0.55000000000000004">
      <c r="A23" s="41">
        <v>46015</v>
      </c>
      <c r="B23">
        <v>7326</v>
      </c>
      <c r="C23">
        <v>8072</v>
      </c>
      <c r="D23">
        <v>5780</v>
      </c>
      <c r="E23">
        <v>47908</v>
      </c>
      <c r="F23">
        <v>153</v>
      </c>
      <c r="G23">
        <v>332</v>
      </c>
      <c r="H23">
        <v>2010</v>
      </c>
      <c r="I23">
        <v>0</v>
      </c>
      <c r="J23">
        <v>0</v>
      </c>
      <c r="K23" t="s">
        <v>46</v>
      </c>
    </row>
    <row r="24" spans="1:11" x14ac:dyDescent="0.55000000000000004">
      <c r="A24" s="41">
        <v>46016</v>
      </c>
      <c r="B24">
        <v>3750</v>
      </c>
      <c r="C24">
        <v>8097</v>
      </c>
      <c r="D24">
        <v>5256</v>
      </c>
      <c r="E24">
        <v>57117</v>
      </c>
      <c r="F24">
        <v>147</v>
      </c>
      <c r="G24">
        <v>365</v>
      </c>
      <c r="H24">
        <v>4172</v>
      </c>
      <c r="I24">
        <v>0</v>
      </c>
      <c r="J24">
        <v>0</v>
      </c>
      <c r="K24" t="s">
        <v>46</v>
      </c>
    </row>
    <row r="25" spans="1:11" x14ac:dyDescent="0.55000000000000004">
      <c r="A25" s="41">
        <v>46017</v>
      </c>
      <c r="B25">
        <v>8121</v>
      </c>
      <c r="C25">
        <v>7031</v>
      </c>
      <c r="D25">
        <v>4453</v>
      </c>
      <c r="E25">
        <v>65265</v>
      </c>
      <c r="F25">
        <v>197</v>
      </c>
      <c r="G25">
        <v>319</v>
      </c>
      <c r="H25">
        <v>2982</v>
      </c>
      <c r="I25">
        <v>0</v>
      </c>
      <c r="J25">
        <v>9183</v>
      </c>
      <c r="K25" t="s">
        <v>46</v>
      </c>
    </row>
    <row r="26" spans="1:11" x14ac:dyDescent="0.55000000000000004">
      <c r="A26" s="41">
        <v>46018</v>
      </c>
      <c r="B26">
        <v>7302</v>
      </c>
      <c r="C26">
        <v>6976</v>
      </c>
      <c r="D26">
        <v>4074</v>
      </c>
      <c r="E26">
        <v>69619</v>
      </c>
      <c r="F26">
        <v>245</v>
      </c>
      <c r="G26">
        <v>677</v>
      </c>
      <c r="H26">
        <v>1901</v>
      </c>
      <c r="I26">
        <v>0</v>
      </c>
      <c r="J26">
        <v>37180</v>
      </c>
      <c r="K26" t="s">
        <v>46</v>
      </c>
    </row>
    <row r="27" spans="1:11" x14ac:dyDescent="0.55000000000000004">
      <c r="A27" s="41">
        <v>46019</v>
      </c>
      <c r="B27">
        <v>7119</v>
      </c>
      <c r="C27">
        <v>6996</v>
      </c>
      <c r="D27">
        <v>3487</v>
      </c>
      <c r="E27">
        <v>69585</v>
      </c>
      <c r="F27">
        <v>241</v>
      </c>
      <c r="G27">
        <v>757</v>
      </c>
      <c r="H27">
        <v>1213</v>
      </c>
      <c r="I27">
        <v>0</v>
      </c>
      <c r="J27">
        <v>39848</v>
      </c>
      <c r="K27" t="s">
        <v>46</v>
      </c>
    </row>
    <row r="28" spans="1:11" x14ac:dyDescent="0.55000000000000004">
      <c r="A28" s="41">
        <v>46020</v>
      </c>
      <c r="B28">
        <v>3951</v>
      </c>
      <c r="C28">
        <v>6991</v>
      </c>
      <c r="D28">
        <v>2587</v>
      </c>
      <c r="E28">
        <v>68553</v>
      </c>
      <c r="F28">
        <v>246</v>
      </c>
      <c r="G28">
        <v>767</v>
      </c>
      <c r="H28">
        <v>897</v>
      </c>
      <c r="I28">
        <v>0</v>
      </c>
      <c r="J28">
        <v>30134</v>
      </c>
      <c r="K28" t="s">
        <v>46</v>
      </c>
    </row>
    <row r="29" spans="1:11" x14ac:dyDescent="0.55000000000000004">
      <c r="A29" s="41">
        <v>46021</v>
      </c>
      <c r="B29">
        <v>3569</v>
      </c>
      <c r="C29">
        <v>7014</v>
      </c>
      <c r="D29">
        <v>2152</v>
      </c>
      <c r="E29">
        <v>64801</v>
      </c>
      <c r="F29">
        <v>240</v>
      </c>
      <c r="G29">
        <v>791</v>
      </c>
      <c r="H29">
        <v>713</v>
      </c>
      <c r="I29">
        <v>0</v>
      </c>
      <c r="J29">
        <v>10944</v>
      </c>
      <c r="K29" t="s">
        <v>46</v>
      </c>
    </row>
    <row r="30" spans="1:11" x14ac:dyDescent="0.55000000000000004">
      <c r="A30" s="41">
        <v>46022</v>
      </c>
      <c r="B30">
        <v>3360</v>
      </c>
      <c r="C30">
        <v>7043</v>
      </c>
      <c r="D30">
        <v>1934</v>
      </c>
      <c r="E30">
        <v>61200</v>
      </c>
      <c r="F30">
        <v>252</v>
      </c>
      <c r="G30">
        <v>1049</v>
      </c>
      <c r="H30">
        <v>598</v>
      </c>
      <c r="I30">
        <v>0</v>
      </c>
      <c r="J30">
        <v>165</v>
      </c>
      <c r="K30" t="s">
        <v>46</v>
      </c>
    </row>
    <row r="31" spans="1:11" x14ac:dyDescent="0.55000000000000004">
      <c r="A31" s="41">
        <v>46023</v>
      </c>
      <c r="B31">
        <v>3355</v>
      </c>
      <c r="C31">
        <v>7087</v>
      </c>
      <c r="D31">
        <v>1874</v>
      </c>
      <c r="E31">
        <v>56858</v>
      </c>
      <c r="F31">
        <v>250</v>
      </c>
      <c r="G31">
        <v>1150</v>
      </c>
      <c r="H31">
        <v>1049</v>
      </c>
      <c r="I31">
        <v>0</v>
      </c>
      <c r="J31">
        <v>0</v>
      </c>
      <c r="K31" t="s">
        <v>46</v>
      </c>
    </row>
    <row r="32" spans="1:11" x14ac:dyDescent="0.55000000000000004">
      <c r="A32" s="41">
        <v>46024</v>
      </c>
      <c r="B32">
        <v>3355</v>
      </c>
      <c r="C32">
        <v>7016</v>
      </c>
      <c r="D32">
        <v>1928</v>
      </c>
      <c r="E32">
        <v>53809</v>
      </c>
      <c r="F32">
        <v>314</v>
      </c>
      <c r="G32">
        <v>1133</v>
      </c>
      <c r="H32">
        <v>2012</v>
      </c>
      <c r="I32">
        <v>0</v>
      </c>
      <c r="J32">
        <v>0</v>
      </c>
      <c r="K32" t="s">
        <v>46</v>
      </c>
    </row>
    <row r="33" spans="1:11" x14ac:dyDescent="0.55000000000000004">
      <c r="A33" s="41">
        <v>46025</v>
      </c>
      <c r="B33">
        <v>3168</v>
      </c>
      <c r="C33">
        <v>5389</v>
      </c>
      <c r="D33">
        <v>2495</v>
      </c>
      <c r="E33">
        <v>55873</v>
      </c>
      <c r="F33">
        <v>414</v>
      </c>
      <c r="G33">
        <v>1153</v>
      </c>
      <c r="H33">
        <v>3166</v>
      </c>
      <c r="I33">
        <v>0</v>
      </c>
      <c r="J33">
        <v>0</v>
      </c>
      <c r="K33" t="s">
        <v>46</v>
      </c>
    </row>
    <row r="34" spans="1:11" x14ac:dyDescent="0.55000000000000004">
      <c r="A34" s="41">
        <v>46026</v>
      </c>
      <c r="B34">
        <v>7135</v>
      </c>
      <c r="C34">
        <v>5338</v>
      </c>
      <c r="D34">
        <v>2583</v>
      </c>
      <c r="E34">
        <v>67019</v>
      </c>
      <c r="F34">
        <v>437</v>
      </c>
      <c r="G34">
        <v>1345</v>
      </c>
      <c r="H34">
        <v>6278</v>
      </c>
      <c r="I34">
        <v>0</v>
      </c>
      <c r="J34">
        <v>13916</v>
      </c>
      <c r="K34" t="s">
        <v>46</v>
      </c>
    </row>
    <row r="35" spans="1:11" x14ac:dyDescent="0.55000000000000004">
      <c r="A35" s="41">
        <v>46027</v>
      </c>
      <c r="B35">
        <v>2579</v>
      </c>
      <c r="C35">
        <v>6942</v>
      </c>
      <c r="D35">
        <v>3278</v>
      </c>
      <c r="E35">
        <v>75792</v>
      </c>
      <c r="F35">
        <v>437</v>
      </c>
      <c r="G35">
        <v>1345</v>
      </c>
      <c r="H35">
        <v>5051</v>
      </c>
      <c r="I35">
        <v>0</v>
      </c>
      <c r="J35">
        <v>13916</v>
      </c>
      <c r="K35" t="s">
        <v>47</v>
      </c>
    </row>
    <row r="36" spans="1:11" x14ac:dyDescent="0.55000000000000004">
      <c r="A36" s="41">
        <v>46028</v>
      </c>
      <c r="B36">
        <v>3372</v>
      </c>
      <c r="C36">
        <v>6942</v>
      </c>
      <c r="D36">
        <v>5826</v>
      </c>
      <c r="E36">
        <v>75535</v>
      </c>
      <c r="F36">
        <v>400</v>
      </c>
      <c r="G36">
        <v>1100</v>
      </c>
      <c r="H36">
        <v>2877</v>
      </c>
      <c r="I36">
        <v>0</v>
      </c>
      <c r="J36">
        <v>13916</v>
      </c>
      <c r="K36" t="s">
        <v>47</v>
      </c>
    </row>
    <row r="37" spans="1:11" x14ac:dyDescent="0.55000000000000004">
      <c r="A37" s="41">
        <v>46029</v>
      </c>
      <c r="B37">
        <v>4165</v>
      </c>
      <c r="C37">
        <v>5355</v>
      </c>
      <c r="D37">
        <v>4254</v>
      </c>
      <c r="E37">
        <v>74943</v>
      </c>
      <c r="F37">
        <v>300</v>
      </c>
      <c r="G37">
        <v>1000</v>
      </c>
      <c r="H37">
        <v>2131</v>
      </c>
      <c r="I37">
        <v>0</v>
      </c>
      <c r="J37">
        <v>13916</v>
      </c>
      <c r="K37" t="s">
        <v>47</v>
      </c>
    </row>
    <row r="38" spans="1:11" x14ac:dyDescent="0.55000000000000004">
      <c r="A38" s="41">
        <v>46030</v>
      </c>
      <c r="B38">
        <v>4364</v>
      </c>
      <c r="C38">
        <v>3570</v>
      </c>
      <c r="D38">
        <v>3382</v>
      </c>
      <c r="E38">
        <v>74302</v>
      </c>
      <c r="F38">
        <v>250</v>
      </c>
      <c r="G38">
        <v>800</v>
      </c>
      <c r="H38">
        <v>1625</v>
      </c>
      <c r="I38">
        <v>0</v>
      </c>
      <c r="J38">
        <v>13916</v>
      </c>
      <c r="K38" t="s">
        <v>47</v>
      </c>
    </row>
    <row r="39" spans="1:11" x14ac:dyDescent="0.55000000000000004">
      <c r="A39" s="41">
        <v>46031</v>
      </c>
      <c r="B39">
        <v>3570</v>
      </c>
      <c r="C39">
        <v>3570</v>
      </c>
      <c r="D39">
        <v>3043</v>
      </c>
      <c r="E39">
        <v>73450</v>
      </c>
      <c r="F39">
        <v>250</v>
      </c>
      <c r="G39">
        <v>700</v>
      </c>
      <c r="H39">
        <v>1322</v>
      </c>
      <c r="I39">
        <v>0</v>
      </c>
      <c r="J39">
        <v>13916</v>
      </c>
      <c r="K39" t="s">
        <v>47</v>
      </c>
    </row>
    <row r="40" spans="1:11" x14ac:dyDescent="0.55000000000000004">
      <c r="A40" s="41">
        <v>46032</v>
      </c>
      <c r="B40">
        <v>3174</v>
      </c>
      <c r="C40">
        <v>3570</v>
      </c>
      <c r="D40">
        <v>2500</v>
      </c>
      <c r="E40">
        <v>72041</v>
      </c>
      <c r="F40">
        <v>250</v>
      </c>
      <c r="G40">
        <v>500</v>
      </c>
      <c r="H40">
        <v>1000</v>
      </c>
      <c r="I40">
        <v>0</v>
      </c>
      <c r="J40">
        <v>13916</v>
      </c>
      <c r="K40" t="s">
        <v>47</v>
      </c>
    </row>
    <row r="41" spans="1:11" x14ac:dyDescent="0.55000000000000004">
      <c r="A41" s="41">
        <v>46033</v>
      </c>
      <c r="B41">
        <v>2579</v>
      </c>
      <c r="C41">
        <v>3570</v>
      </c>
      <c r="D41">
        <v>2000</v>
      </c>
      <c r="E41">
        <v>70572</v>
      </c>
      <c r="F41">
        <v>250</v>
      </c>
      <c r="G41">
        <v>300</v>
      </c>
      <c r="H41">
        <v>700</v>
      </c>
      <c r="I41">
        <v>0</v>
      </c>
      <c r="J41">
        <v>13916</v>
      </c>
      <c r="K41" t="s">
        <v>47</v>
      </c>
    </row>
    <row r="42" spans="1:11" x14ac:dyDescent="0.55000000000000004">
      <c r="A42" s="41">
        <v>46034</v>
      </c>
      <c r="B42">
        <v>2182</v>
      </c>
      <c r="C42">
        <v>3570</v>
      </c>
      <c r="D42">
        <v>2000</v>
      </c>
      <c r="E42">
        <v>69004</v>
      </c>
      <c r="F42">
        <v>250</v>
      </c>
      <c r="G42">
        <v>300</v>
      </c>
      <c r="H42">
        <v>500</v>
      </c>
      <c r="I42">
        <v>0</v>
      </c>
      <c r="J42">
        <v>13916</v>
      </c>
      <c r="K42" t="s">
        <v>47</v>
      </c>
    </row>
    <row r="43" spans="1:11" x14ac:dyDescent="0.55000000000000004">
      <c r="A43" s="41">
        <v>46035</v>
      </c>
      <c r="B43">
        <v>2182</v>
      </c>
      <c r="C43">
        <v>3570</v>
      </c>
      <c r="D43">
        <v>2000</v>
      </c>
      <c r="E43">
        <v>66245</v>
      </c>
      <c r="F43">
        <v>250</v>
      </c>
      <c r="G43">
        <v>300</v>
      </c>
      <c r="H43">
        <v>500</v>
      </c>
      <c r="I43">
        <v>0</v>
      </c>
      <c r="J43">
        <v>13916</v>
      </c>
      <c r="K43" t="s">
        <v>47</v>
      </c>
    </row>
    <row r="44" spans="1:11" x14ac:dyDescent="0.55000000000000004">
      <c r="A44" s="41">
        <v>46036</v>
      </c>
      <c r="B44">
        <v>2182</v>
      </c>
      <c r="C44">
        <v>3570</v>
      </c>
      <c r="D44">
        <v>2000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13916</v>
      </c>
      <c r="K44" t="s">
        <v>47</v>
      </c>
    </row>
    <row r="45" spans="1:11" x14ac:dyDescent="0.55000000000000004">
      <c r="A45" s="41">
        <v>46037</v>
      </c>
      <c r="B45">
        <v>2182</v>
      </c>
      <c r="C45">
        <v>3570</v>
      </c>
      <c r="D45">
        <v>2000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13916</v>
      </c>
      <c r="K45" t="s">
        <v>47</v>
      </c>
    </row>
    <row r="46" spans="1:11" x14ac:dyDescent="0.55000000000000004">
      <c r="A46" s="41">
        <v>46038</v>
      </c>
      <c r="B46">
        <v>2182</v>
      </c>
      <c r="C46">
        <v>3570</v>
      </c>
      <c r="D46">
        <v>2000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13916</v>
      </c>
      <c r="K46" t="s">
        <v>47</v>
      </c>
    </row>
    <row r="47" spans="1:11" x14ac:dyDescent="0.55000000000000004">
      <c r="A47" s="41">
        <v>46039</v>
      </c>
      <c r="B47">
        <v>2182</v>
      </c>
      <c r="C47">
        <v>3570</v>
      </c>
      <c r="D47">
        <v>2000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13916</v>
      </c>
      <c r="K47" t="s">
        <v>47</v>
      </c>
    </row>
    <row r="48" spans="1:11" x14ac:dyDescent="0.55000000000000004">
      <c r="A48" s="41">
        <v>46040</v>
      </c>
      <c r="B48">
        <v>2182</v>
      </c>
      <c r="C48">
        <v>3570</v>
      </c>
      <c r="D48">
        <v>2000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13916</v>
      </c>
      <c r="K48" t="s">
        <v>47</v>
      </c>
    </row>
    <row r="49" spans="1:11" x14ac:dyDescent="0.55000000000000004">
      <c r="A49" s="41">
        <v>46041</v>
      </c>
      <c r="B49">
        <v>2182</v>
      </c>
      <c r="C49">
        <v>3570</v>
      </c>
      <c r="D49">
        <v>2000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13916</v>
      </c>
      <c r="K49" t="s">
        <v>47</v>
      </c>
    </row>
    <row r="50" spans="1:11" x14ac:dyDescent="0.55000000000000004">
      <c r="A50" s="41">
        <v>46042</v>
      </c>
      <c r="B50">
        <v>2182</v>
      </c>
      <c r="C50">
        <v>3570</v>
      </c>
      <c r="D50">
        <v>2000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13916</v>
      </c>
      <c r="K5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0"/>
  <sheetViews>
    <sheetView workbookViewId="0"/>
  </sheetViews>
  <sheetFormatPr defaultRowHeight="14.4" x14ac:dyDescent="0.55000000000000004"/>
  <sheetData>
    <row r="1" spans="1:13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55000000000000004">
      <c r="A2" s="41">
        <v>46027</v>
      </c>
      <c r="B2" t="s">
        <v>35</v>
      </c>
      <c r="C2" t="s">
        <v>35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36</v>
      </c>
    </row>
    <row r="3" spans="1:13" x14ac:dyDescent="0.55000000000000004">
      <c r="A3" t="s">
        <v>37</v>
      </c>
      <c r="B3" t="s">
        <v>38</v>
      </c>
      <c r="C3" t="s">
        <v>39</v>
      </c>
      <c r="D3" t="s">
        <v>28</v>
      </c>
      <c r="E3" t="s">
        <v>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</row>
    <row r="4" spans="1:13" x14ac:dyDescent="0.55000000000000004">
      <c r="A4" s="41">
        <v>45996</v>
      </c>
      <c r="B4">
        <v>3964</v>
      </c>
      <c r="C4">
        <v>1807</v>
      </c>
      <c r="D4">
        <v>1210</v>
      </c>
      <c r="E4">
        <v>11078</v>
      </c>
      <c r="F4">
        <v>21</v>
      </c>
      <c r="G4">
        <v>278</v>
      </c>
      <c r="H4">
        <v>61</v>
      </c>
      <c r="I4">
        <v>0</v>
      </c>
      <c r="J4">
        <v>0</v>
      </c>
      <c r="K4" t="s">
        <v>46</v>
      </c>
    </row>
    <row r="5" spans="1:13" x14ac:dyDescent="0.55000000000000004">
      <c r="A5" s="41">
        <v>45997</v>
      </c>
      <c r="B5">
        <v>3964</v>
      </c>
      <c r="C5">
        <v>1844</v>
      </c>
      <c r="D5">
        <v>1190</v>
      </c>
      <c r="E5">
        <v>10520</v>
      </c>
      <c r="F5">
        <v>24</v>
      </c>
      <c r="G5">
        <v>279</v>
      </c>
      <c r="H5">
        <v>60</v>
      </c>
      <c r="I5">
        <v>0</v>
      </c>
      <c r="J5">
        <v>0</v>
      </c>
      <c r="K5" t="s">
        <v>46</v>
      </c>
    </row>
    <row r="6" spans="1:13" x14ac:dyDescent="0.55000000000000004">
      <c r="A6" s="41">
        <v>45998</v>
      </c>
      <c r="B6">
        <v>3942</v>
      </c>
      <c r="C6">
        <v>1929</v>
      </c>
      <c r="D6">
        <v>1170</v>
      </c>
      <c r="E6">
        <v>10610</v>
      </c>
      <c r="F6">
        <v>24</v>
      </c>
      <c r="G6">
        <v>277</v>
      </c>
      <c r="H6">
        <v>60</v>
      </c>
      <c r="I6">
        <v>0</v>
      </c>
      <c r="J6">
        <v>0</v>
      </c>
      <c r="K6" t="s">
        <v>46</v>
      </c>
    </row>
    <row r="7" spans="1:13" x14ac:dyDescent="0.55000000000000004">
      <c r="A7" s="41">
        <v>45999</v>
      </c>
      <c r="B7">
        <v>3961</v>
      </c>
      <c r="C7">
        <v>1927</v>
      </c>
      <c r="D7">
        <v>1165</v>
      </c>
      <c r="E7">
        <v>10336</v>
      </c>
      <c r="F7">
        <v>24</v>
      </c>
      <c r="G7">
        <v>279</v>
      </c>
      <c r="H7">
        <v>62</v>
      </c>
      <c r="I7">
        <v>0</v>
      </c>
      <c r="J7">
        <v>0</v>
      </c>
      <c r="K7" t="s">
        <v>46</v>
      </c>
    </row>
    <row r="8" spans="1:13" x14ac:dyDescent="0.55000000000000004">
      <c r="A8" s="41">
        <v>46000</v>
      </c>
      <c r="B8">
        <v>3910</v>
      </c>
      <c r="C8">
        <v>1927</v>
      </c>
      <c r="D8">
        <v>1228</v>
      </c>
      <c r="E8">
        <v>10524</v>
      </c>
      <c r="F8">
        <v>24</v>
      </c>
      <c r="G8">
        <v>281</v>
      </c>
      <c r="H8">
        <v>61</v>
      </c>
      <c r="I8">
        <v>0</v>
      </c>
      <c r="J8">
        <v>0</v>
      </c>
      <c r="K8" t="s">
        <v>46</v>
      </c>
    </row>
    <row r="9" spans="1:13" x14ac:dyDescent="0.55000000000000004">
      <c r="A9" s="41">
        <v>46001</v>
      </c>
      <c r="B9">
        <v>3961</v>
      </c>
      <c r="C9">
        <v>1893</v>
      </c>
      <c r="D9">
        <v>1250</v>
      </c>
      <c r="E9">
        <v>10464</v>
      </c>
      <c r="F9">
        <v>24</v>
      </c>
      <c r="G9">
        <v>292</v>
      </c>
      <c r="H9">
        <v>60</v>
      </c>
      <c r="I9">
        <v>0</v>
      </c>
      <c r="J9">
        <v>0</v>
      </c>
      <c r="K9" t="s">
        <v>46</v>
      </c>
    </row>
    <row r="10" spans="1:13" x14ac:dyDescent="0.55000000000000004">
      <c r="A10" s="41">
        <v>46002</v>
      </c>
      <c r="B10">
        <v>3929</v>
      </c>
      <c r="C10">
        <v>1915</v>
      </c>
      <c r="D10">
        <v>1235</v>
      </c>
      <c r="E10">
        <v>10393</v>
      </c>
      <c r="F10">
        <v>24</v>
      </c>
      <c r="G10">
        <v>280</v>
      </c>
      <c r="H10">
        <v>60</v>
      </c>
      <c r="I10">
        <v>0</v>
      </c>
      <c r="J10">
        <v>0</v>
      </c>
      <c r="K10" t="s">
        <v>46</v>
      </c>
    </row>
    <row r="11" spans="1:13" x14ac:dyDescent="0.55000000000000004">
      <c r="A11" s="41">
        <v>46003</v>
      </c>
      <c r="B11">
        <v>3952</v>
      </c>
      <c r="C11">
        <v>1915</v>
      </c>
      <c r="D11">
        <v>1161</v>
      </c>
      <c r="E11">
        <v>10195</v>
      </c>
      <c r="F11">
        <v>24</v>
      </c>
      <c r="G11">
        <v>284</v>
      </c>
      <c r="H11">
        <v>59</v>
      </c>
      <c r="I11">
        <v>0</v>
      </c>
      <c r="J11">
        <v>0</v>
      </c>
      <c r="K11" t="s">
        <v>46</v>
      </c>
    </row>
    <row r="12" spans="1:13" x14ac:dyDescent="0.55000000000000004">
      <c r="A12" s="41">
        <v>46004</v>
      </c>
      <c r="B12">
        <v>3956</v>
      </c>
      <c r="C12">
        <v>1919</v>
      </c>
      <c r="D12">
        <v>1133</v>
      </c>
      <c r="E12">
        <v>9935</v>
      </c>
      <c r="F12">
        <v>24</v>
      </c>
      <c r="G12">
        <v>312</v>
      </c>
      <c r="H12">
        <v>59</v>
      </c>
      <c r="I12">
        <v>0</v>
      </c>
      <c r="J12">
        <v>0</v>
      </c>
      <c r="K12" t="s">
        <v>46</v>
      </c>
    </row>
    <row r="13" spans="1:13" x14ac:dyDescent="0.55000000000000004">
      <c r="A13" s="41">
        <v>46005</v>
      </c>
      <c r="B13">
        <v>3963</v>
      </c>
      <c r="C13">
        <v>1922</v>
      </c>
      <c r="D13">
        <v>1125</v>
      </c>
      <c r="E13">
        <v>9724</v>
      </c>
      <c r="F13">
        <v>24</v>
      </c>
      <c r="G13">
        <v>319</v>
      </c>
      <c r="H13">
        <v>58</v>
      </c>
      <c r="I13">
        <v>0</v>
      </c>
      <c r="J13">
        <v>0</v>
      </c>
      <c r="K13" t="s">
        <v>46</v>
      </c>
    </row>
    <row r="14" spans="1:13" x14ac:dyDescent="0.55000000000000004">
      <c r="A14" s="41">
        <v>46006</v>
      </c>
      <c r="B14">
        <v>3960</v>
      </c>
      <c r="C14">
        <v>1829</v>
      </c>
      <c r="D14">
        <v>1121</v>
      </c>
      <c r="E14">
        <v>9847</v>
      </c>
      <c r="F14">
        <v>24</v>
      </c>
      <c r="G14">
        <v>290</v>
      </c>
      <c r="H14">
        <v>57</v>
      </c>
      <c r="I14">
        <v>0</v>
      </c>
      <c r="J14">
        <v>0</v>
      </c>
      <c r="K14" t="s">
        <v>46</v>
      </c>
    </row>
    <row r="15" spans="1:13" x14ac:dyDescent="0.55000000000000004">
      <c r="A15" s="41">
        <v>46007</v>
      </c>
      <c r="B15">
        <v>3172</v>
      </c>
      <c r="C15">
        <v>1922</v>
      </c>
      <c r="D15">
        <v>1096</v>
      </c>
      <c r="E15">
        <v>10204</v>
      </c>
      <c r="F15">
        <v>24</v>
      </c>
      <c r="G15">
        <v>269</v>
      </c>
      <c r="H15">
        <v>57</v>
      </c>
      <c r="I15">
        <v>0</v>
      </c>
      <c r="J15">
        <v>0</v>
      </c>
      <c r="K15" t="s">
        <v>46</v>
      </c>
    </row>
    <row r="16" spans="1:13" x14ac:dyDescent="0.55000000000000004">
      <c r="A16" s="41">
        <v>46008</v>
      </c>
      <c r="B16">
        <v>3147</v>
      </c>
      <c r="C16">
        <v>1924</v>
      </c>
      <c r="D16">
        <v>1071</v>
      </c>
      <c r="E16">
        <v>10492</v>
      </c>
      <c r="F16">
        <v>24</v>
      </c>
      <c r="G16">
        <v>280</v>
      </c>
      <c r="H16">
        <v>59</v>
      </c>
      <c r="I16">
        <v>0</v>
      </c>
      <c r="J16">
        <v>0</v>
      </c>
      <c r="K16" t="s">
        <v>46</v>
      </c>
    </row>
    <row r="17" spans="1:11" x14ac:dyDescent="0.55000000000000004">
      <c r="A17" s="41">
        <v>46009</v>
      </c>
      <c r="B17">
        <v>3965</v>
      </c>
      <c r="C17">
        <v>1927</v>
      </c>
      <c r="D17">
        <v>1092</v>
      </c>
      <c r="E17">
        <v>10806</v>
      </c>
      <c r="F17">
        <v>24</v>
      </c>
      <c r="G17">
        <v>284</v>
      </c>
      <c r="H17">
        <v>68</v>
      </c>
      <c r="I17">
        <v>0</v>
      </c>
      <c r="J17">
        <v>0</v>
      </c>
      <c r="K17" t="s">
        <v>46</v>
      </c>
    </row>
    <row r="18" spans="1:11" x14ac:dyDescent="0.55000000000000004">
      <c r="A18" s="41">
        <v>46010</v>
      </c>
      <c r="B18">
        <v>5931</v>
      </c>
      <c r="C18">
        <v>1949</v>
      </c>
      <c r="D18">
        <v>1747</v>
      </c>
      <c r="E18">
        <v>11679</v>
      </c>
      <c r="F18">
        <v>91</v>
      </c>
      <c r="G18">
        <v>281</v>
      </c>
      <c r="H18">
        <v>90</v>
      </c>
      <c r="I18">
        <v>0</v>
      </c>
      <c r="J18">
        <v>0</v>
      </c>
      <c r="K18" t="s">
        <v>46</v>
      </c>
    </row>
    <row r="19" spans="1:11" x14ac:dyDescent="0.55000000000000004">
      <c r="A19" s="41">
        <v>46011</v>
      </c>
      <c r="B19">
        <v>10880</v>
      </c>
      <c r="C19">
        <v>5275</v>
      </c>
      <c r="D19">
        <v>3558</v>
      </c>
      <c r="E19">
        <v>13236</v>
      </c>
      <c r="F19">
        <v>150</v>
      </c>
      <c r="G19">
        <v>281</v>
      </c>
      <c r="H19">
        <v>96</v>
      </c>
      <c r="I19">
        <v>0</v>
      </c>
      <c r="J19">
        <v>0</v>
      </c>
      <c r="K19" t="s">
        <v>46</v>
      </c>
    </row>
    <row r="20" spans="1:11" x14ac:dyDescent="0.55000000000000004">
      <c r="A20" s="41">
        <v>46012</v>
      </c>
      <c r="B20">
        <v>12873</v>
      </c>
      <c r="C20">
        <v>6992</v>
      </c>
      <c r="D20">
        <v>4848</v>
      </c>
      <c r="E20">
        <v>18038</v>
      </c>
      <c r="F20">
        <v>150</v>
      </c>
      <c r="G20">
        <v>283</v>
      </c>
      <c r="H20">
        <v>166</v>
      </c>
      <c r="I20">
        <v>0</v>
      </c>
      <c r="J20">
        <v>0</v>
      </c>
      <c r="K20" t="s">
        <v>46</v>
      </c>
    </row>
    <row r="21" spans="1:11" x14ac:dyDescent="0.55000000000000004">
      <c r="A21" s="41">
        <v>46013</v>
      </c>
      <c r="B21">
        <v>10892</v>
      </c>
      <c r="C21">
        <v>7004</v>
      </c>
      <c r="D21">
        <v>5822</v>
      </c>
      <c r="E21">
        <v>20977</v>
      </c>
      <c r="F21">
        <v>150</v>
      </c>
      <c r="G21">
        <v>304</v>
      </c>
      <c r="H21">
        <v>539</v>
      </c>
      <c r="I21">
        <v>0</v>
      </c>
      <c r="J21">
        <v>0</v>
      </c>
      <c r="K21" t="s">
        <v>46</v>
      </c>
    </row>
    <row r="22" spans="1:11" x14ac:dyDescent="0.55000000000000004">
      <c r="A22" s="41">
        <v>46014</v>
      </c>
      <c r="B22">
        <v>14865</v>
      </c>
      <c r="C22">
        <v>8224</v>
      </c>
      <c r="D22">
        <v>6068</v>
      </c>
      <c r="E22">
        <v>33157</v>
      </c>
      <c r="F22">
        <v>151</v>
      </c>
      <c r="G22">
        <v>281</v>
      </c>
      <c r="H22">
        <v>1043</v>
      </c>
      <c r="I22">
        <v>0</v>
      </c>
      <c r="J22">
        <v>0</v>
      </c>
      <c r="K22" t="s">
        <v>46</v>
      </c>
    </row>
    <row r="23" spans="1:11" x14ac:dyDescent="0.55000000000000004">
      <c r="A23" s="41">
        <v>46015</v>
      </c>
      <c r="B23">
        <v>7326</v>
      </c>
      <c r="C23">
        <v>8072</v>
      </c>
      <c r="D23">
        <v>5780</v>
      </c>
      <c r="E23">
        <v>47908</v>
      </c>
      <c r="F23">
        <v>153</v>
      </c>
      <c r="G23">
        <v>332</v>
      </c>
      <c r="H23">
        <v>2010</v>
      </c>
      <c r="I23">
        <v>0</v>
      </c>
      <c r="J23">
        <v>0</v>
      </c>
      <c r="K23" t="s">
        <v>46</v>
      </c>
    </row>
    <row r="24" spans="1:11" x14ac:dyDescent="0.55000000000000004">
      <c r="A24" s="41">
        <v>46016</v>
      </c>
      <c r="B24">
        <v>3750</v>
      </c>
      <c r="C24">
        <v>8097</v>
      </c>
      <c r="D24">
        <v>5256</v>
      </c>
      <c r="E24">
        <v>57117</v>
      </c>
      <c r="F24">
        <v>147</v>
      </c>
      <c r="G24">
        <v>365</v>
      </c>
      <c r="H24">
        <v>4172</v>
      </c>
      <c r="I24">
        <v>0</v>
      </c>
      <c r="J24">
        <v>0</v>
      </c>
      <c r="K24" t="s">
        <v>46</v>
      </c>
    </row>
    <row r="25" spans="1:11" x14ac:dyDescent="0.55000000000000004">
      <c r="A25" s="41">
        <v>46017</v>
      </c>
      <c r="B25">
        <v>8121</v>
      </c>
      <c r="C25">
        <v>7031</v>
      </c>
      <c r="D25">
        <v>4453</v>
      </c>
      <c r="E25">
        <v>65265</v>
      </c>
      <c r="F25">
        <v>197</v>
      </c>
      <c r="G25">
        <v>319</v>
      </c>
      <c r="H25">
        <v>2982</v>
      </c>
      <c r="I25">
        <v>0</v>
      </c>
      <c r="J25">
        <v>9183</v>
      </c>
      <c r="K25" t="s">
        <v>46</v>
      </c>
    </row>
    <row r="26" spans="1:11" x14ac:dyDescent="0.55000000000000004">
      <c r="A26" s="41">
        <v>46018</v>
      </c>
      <c r="B26">
        <v>7302</v>
      </c>
      <c r="C26">
        <v>6976</v>
      </c>
      <c r="D26">
        <v>4074</v>
      </c>
      <c r="E26">
        <v>69619</v>
      </c>
      <c r="F26">
        <v>245</v>
      </c>
      <c r="G26">
        <v>677</v>
      </c>
      <c r="H26">
        <v>1901</v>
      </c>
      <c r="I26">
        <v>0</v>
      </c>
      <c r="J26">
        <v>37180</v>
      </c>
      <c r="K26" t="s">
        <v>46</v>
      </c>
    </row>
    <row r="27" spans="1:11" x14ac:dyDescent="0.55000000000000004">
      <c r="A27" s="41">
        <v>46019</v>
      </c>
      <c r="B27">
        <v>7119</v>
      </c>
      <c r="C27">
        <v>6996</v>
      </c>
      <c r="D27">
        <v>3487</v>
      </c>
      <c r="E27">
        <v>69585</v>
      </c>
      <c r="F27">
        <v>241</v>
      </c>
      <c r="G27">
        <v>757</v>
      </c>
      <c r="H27">
        <v>1213</v>
      </c>
      <c r="I27">
        <v>0</v>
      </c>
      <c r="J27">
        <v>39848</v>
      </c>
      <c r="K27" t="s">
        <v>46</v>
      </c>
    </row>
    <row r="28" spans="1:11" x14ac:dyDescent="0.55000000000000004">
      <c r="A28" s="41">
        <v>46020</v>
      </c>
      <c r="B28">
        <v>3951</v>
      </c>
      <c r="C28">
        <v>6991</v>
      </c>
      <c r="D28">
        <v>2587</v>
      </c>
      <c r="E28">
        <v>68553</v>
      </c>
      <c r="F28">
        <v>246</v>
      </c>
      <c r="G28">
        <v>767</v>
      </c>
      <c r="H28">
        <v>897</v>
      </c>
      <c r="I28">
        <v>0</v>
      </c>
      <c r="J28">
        <v>30134</v>
      </c>
      <c r="K28" t="s">
        <v>46</v>
      </c>
    </row>
    <row r="29" spans="1:11" x14ac:dyDescent="0.55000000000000004">
      <c r="A29" s="41">
        <v>46021</v>
      </c>
      <c r="B29">
        <v>3569</v>
      </c>
      <c r="C29">
        <v>7014</v>
      </c>
      <c r="D29">
        <v>2152</v>
      </c>
      <c r="E29">
        <v>64801</v>
      </c>
      <c r="F29">
        <v>240</v>
      </c>
      <c r="G29">
        <v>791</v>
      </c>
      <c r="H29">
        <v>713</v>
      </c>
      <c r="I29">
        <v>0</v>
      </c>
      <c r="J29">
        <v>10944</v>
      </c>
      <c r="K29" t="s">
        <v>46</v>
      </c>
    </row>
    <row r="30" spans="1:11" x14ac:dyDescent="0.55000000000000004">
      <c r="A30" s="41">
        <v>46022</v>
      </c>
      <c r="B30">
        <v>3360</v>
      </c>
      <c r="C30">
        <v>7043</v>
      </c>
      <c r="D30">
        <v>1934</v>
      </c>
      <c r="E30">
        <v>61200</v>
      </c>
      <c r="F30">
        <v>252</v>
      </c>
      <c r="G30">
        <v>1049</v>
      </c>
      <c r="H30">
        <v>598</v>
      </c>
      <c r="I30">
        <v>0</v>
      </c>
      <c r="J30">
        <v>165</v>
      </c>
      <c r="K30" t="s">
        <v>46</v>
      </c>
    </row>
    <row r="31" spans="1:11" x14ac:dyDescent="0.55000000000000004">
      <c r="A31" s="41">
        <v>46023</v>
      </c>
      <c r="B31">
        <v>3355</v>
      </c>
      <c r="C31">
        <v>7087</v>
      </c>
      <c r="D31">
        <v>1874</v>
      </c>
      <c r="E31">
        <v>56858</v>
      </c>
      <c r="F31">
        <v>250</v>
      </c>
      <c r="G31">
        <v>1150</v>
      </c>
      <c r="H31">
        <v>1049</v>
      </c>
      <c r="I31">
        <v>0</v>
      </c>
      <c r="J31">
        <v>0</v>
      </c>
      <c r="K31" t="s">
        <v>46</v>
      </c>
    </row>
    <row r="32" spans="1:11" x14ac:dyDescent="0.55000000000000004">
      <c r="A32" s="41">
        <v>46024</v>
      </c>
      <c r="B32">
        <v>3355</v>
      </c>
      <c r="C32">
        <v>7016</v>
      </c>
      <c r="D32">
        <v>1928</v>
      </c>
      <c r="E32">
        <v>53809</v>
      </c>
      <c r="F32">
        <v>314</v>
      </c>
      <c r="G32">
        <v>1133</v>
      </c>
      <c r="H32">
        <v>2012</v>
      </c>
      <c r="I32">
        <v>0</v>
      </c>
      <c r="J32">
        <v>0</v>
      </c>
      <c r="K32" t="s">
        <v>46</v>
      </c>
    </row>
    <row r="33" spans="1:11" x14ac:dyDescent="0.55000000000000004">
      <c r="A33" s="41">
        <v>46025</v>
      </c>
      <c r="B33">
        <v>3168</v>
      </c>
      <c r="C33">
        <v>5389</v>
      </c>
      <c r="D33">
        <v>2495</v>
      </c>
      <c r="E33">
        <v>55873</v>
      </c>
      <c r="F33">
        <v>414</v>
      </c>
      <c r="G33">
        <v>1153</v>
      </c>
      <c r="H33">
        <v>3166</v>
      </c>
      <c r="I33">
        <v>0</v>
      </c>
      <c r="J33">
        <v>0</v>
      </c>
      <c r="K33" t="s">
        <v>46</v>
      </c>
    </row>
    <row r="34" spans="1:11" x14ac:dyDescent="0.55000000000000004">
      <c r="A34" s="41">
        <v>46026</v>
      </c>
      <c r="B34">
        <v>7135</v>
      </c>
      <c r="C34">
        <v>5338</v>
      </c>
      <c r="D34">
        <v>2583</v>
      </c>
      <c r="E34">
        <v>67019</v>
      </c>
      <c r="F34">
        <v>437</v>
      </c>
      <c r="G34">
        <v>1345</v>
      </c>
      <c r="H34">
        <v>6278</v>
      </c>
      <c r="I34">
        <v>0</v>
      </c>
      <c r="J34">
        <v>13916</v>
      </c>
      <c r="K34" t="s">
        <v>46</v>
      </c>
    </row>
    <row r="35" spans="1:11" x14ac:dyDescent="0.55000000000000004">
      <c r="A35" s="41">
        <v>46027</v>
      </c>
      <c r="B35">
        <v>4165</v>
      </c>
      <c r="C35">
        <v>6942</v>
      </c>
      <c r="D35">
        <v>3278</v>
      </c>
      <c r="E35">
        <v>75792</v>
      </c>
      <c r="F35">
        <v>437</v>
      </c>
      <c r="G35">
        <v>1345</v>
      </c>
      <c r="H35">
        <v>5051</v>
      </c>
      <c r="I35">
        <v>0</v>
      </c>
      <c r="J35">
        <v>13916</v>
      </c>
      <c r="K35" t="s">
        <v>47</v>
      </c>
    </row>
    <row r="36" spans="1:11" x14ac:dyDescent="0.55000000000000004">
      <c r="A36" s="41">
        <v>46028</v>
      </c>
      <c r="B36">
        <v>4760</v>
      </c>
      <c r="C36">
        <v>6942</v>
      </c>
      <c r="D36">
        <v>5826</v>
      </c>
      <c r="E36">
        <v>75535</v>
      </c>
      <c r="F36">
        <v>400</v>
      </c>
      <c r="G36">
        <v>1100</v>
      </c>
      <c r="H36">
        <v>2877</v>
      </c>
      <c r="I36">
        <v>0</v>
      </c>
      <c r="J36">
        <v>13916</v>
      </c>
      <c r="K36" t="s">
        <v>47</v>
      </c>
    </row>
    <row r="37" spans="1:11" x14ac:dyDescent="0.55000000000000004">
      <c r="A37" s="41">
        <v>46029</v>
      </c>
      <c r="B37">
        <v>5951</v>
      </c>
      <c r="C37">
        <v>6942</v>
      </c>
      <c r="D37">
        <v>4254</v>
      </c>
      <c r="E37">
        <v>74943</v>
      </c>
      <c r="F37">
        <v>300</v>
      </c>
      <c r="G37">
        <v>1000</v>
      </c>
      <c r="H37">
        <v>2131</v>
      </c>
      <c r="I37">
        <v>0</v>
      </c>
      <c r="J37">
        <v>13916</v>
      </c>
      <c r="K37" t="s">
        <v>47</v>
      </c>
    </row>
    <row r="38" spans="1:11" x14ac:dyDescent="0.55000000000000004">
      <c r="A38" s="41">
        <v>46030</v>
      </c>
      <c r="B38">
        <v>4165</v>
      </c>
      <c r="C38">
        <v>6942</v>
      </c>
      <c r="D38">
        <v>3382</v>
      </c>
      <c r="E38">
        <v>74302</v>
      </c>
      <c r="F38">
        <v>250</v>
      </c>
      <c r="G38">
        <v>800</v>
      </c>
      <c r="H38">
        <v>1625</v>
      </c>
      <c r="I38">
        <v>0</v>
      </c>
      <c r="J38">
        <v>13916</v>
      </c>
      <c r="K38" t="s">
        <v>47</v>
      </c>
    </row>
    <row r="39" spans="1:11" x14ac:dyDescent="0.55000000000000004">
      <c r="A39" s="41">
        <v>46031</v>
      </c>
      <c r="B39">
        <v>4959</v>
      </c>
      <c r="C39">
        <v>5355</v>
      </c>
      <c r="D39">
        <v>3043</v>
      </c>
      <c r="E39">
        <v>73450</v>
      </c>
      <c r="F39">
        <v>250</v>
      </c>
      <c r="G39">
        <v>700</v>
      </c>
      <c r="H39">
        <v>1322</v>
      </c>
      <c r="I39">
        <v>0</v>
      </c>
      <c r="J39">
        <v>13916</v>
      </c>
      <c r="K39" t="s">
        <v>47</v>
      </c>
    </row>
    <row r="40" spans="1:11" x14ac:dyDescent="0.55000000000000004">
      <c r="A40" s="41">
        <v>46032</v>
      </c>
      <c r="B40">
        <v>4562</v>
      </c>
      <c r="C40">
        <v>5355</v>
      </c>
      <c r="D40">
        <v>2500</v>
      </c>
      <c r="E40">
        <v>72041</v>
      </c>
      <c r="F40">
        <v>250</v>
      </c>
      <c r="G40">
        <v>500</v>
      </c>
      <c r="H40">
        <v>1000</v>
      </c>
      <c r="I40">
        <v>0</v>
      </c>
      <c r="J40">
        <v>13916</v>
      </c>
      <c r="K40" t="s">
        <v>47</v>
      </c>
    </row>
    <row r="41" spans="1:11" x14ac:dyDescent="0.55000000000000004">
      <c r="A41" s="41">
        <v>46033</v>
      </c>
      <c r="B41">
        <v>4165</v>
      </c>
      <c r="C41">
        <v>5355</v>
      </c>
      <c r="D41">
        <v>2000</v>
      </c>
      <c r="E41">
        <v>70572</v>
      </c>
      <c r="F41">
        <v>250</v>
      </c>
      <c r="G41">
        <v>300</v>
      </c>
      <c r="H41">
        <v>700</v>
      </c>
      <c r="I41">
        <v>0</v>
      </c>
      <c r="J41">
        <v>13916</v>
      </c>
      <c r="K41" t="s">
        <v>47</v>
      </c>
    </row>
    <row r="42" spans="1:11" x14ac:dyDescent="0.55000000000000004">
      <c r="A42" s="41">
        <v>46034</v>
      </c>
      <c r="B42">
        <v>3570</v>
      </c>
      <c r="C42">
        <v>5355</v>
      </c>
      <c r="D42">
        <v>2000</v>
      </c>
      <c r="E42">
        <v>69004</v>
      </c>
      <c r="F42">
        <v>250</v>
      </c>
      <c r="G42">
        <v>300</v>
      </c>
      <c r="H42">
        <v>500</v>
      </c>
      <c r="I42">
        <v>0</v>
      </c>
      <c r="J42">
        <v>13916</v>
      </c>
      <c r="K42" t="s">
        <v>47</v>
      </c>
    </row>
    <row r="43" spans="1:11" x14ac:dyDescent="0.55000000000000004">
      <c r="A43" s="41">
        <v>46035</v>
      </c>
      <c r="B43">
        <v>3570</v>
      </c>
      <c r="C43">
        <v>5355</v>
      </c>
      <c r="D43">
        <v>2000</v>
      </c>
      <c r="E43">
        <v>66245</v>
      </c>
      <c r="F43">
        <v>250</v>
      </c>
      <c r="G43">
        <v>300</v>
      </c>
      <c r="H43">
        <v>500</v>
      </c>
      <c r="I43">
        <v>0</v>
      </c>
      <c r="J43">
        <v>13916</v>
      </c>
      <c r="K43" t="s">
        <v>47</v>
      </c>
    </row>
    <row r="44" spans="1:11" x14ac:dyDescent="0.55000000000000004">
      <c r="A44" s="41">
        <v>46036</v>
      </c>
      <c r="B44">
        <v>3570</v>
      </c>
      <c r="C44">
        <v>5355</v>
      </c>
      <c r="D44">
        <v>2000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13916</v>
      </c>
      <c r="K44" t="s">
        <v>47</v>
      </c>
    </row>
    <row r="45" spans="1:11" x14ac:dyDescent="0.55000000000000004">
      <c r="A45" s="41">
        <v>46037</v>
      </c>
      <c r="B45">
        <v>3570</v>
      </c>
      <c r="C45">
        <v>5355</v>
      </c>
      <c r="D45">
        <v>2000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13916</v>
      </c>
      <c r="K45" t="s">
        <v>47</v>
      </c>
    </row>
    <row r="46" spans="1:11" x14ac:dyDescent="0.55000000000000004">
      <c r="A46" s="41">
        <v>46038</v>
      </c>
      <c r="B46">
        <v>3570</v>
      </c>
      <c r="C46">
        <v>5355</v>
      </c>
      <c r="D46">
        <v>2000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13916</v>
      </c>
      <c r="K46" t="s">
        <v>47</v>
      </c>
    </row>
    <row r="47" spans="1:11" x14ac:dyDescent="0.55000000000000004">
      <c r="A47" s="41">
        <v>46039</v>
      </c>
      <c r="B47">
        <v>3570</v>
      </c>
      <c r="C47">
        <v>5355</v>
      </c>
      <c r="D47">
        <v>2000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13916</v>
      </c>
      <c r="K47" t="s">
        <v>47</v>
      </c>
    </row>
    <row r="48" spans="1:11" x14ac:dyDescent="0.55000000000000004">
      <c r="A48" s="41">
        <v>46040</v>
      </c>
      <c r="B48">
        <v>3570</v>
      </c>
      <c r="C48">
        <v>5355</v>
      </c>
      <c r="D48">
        <v>2000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13916</v>
      </c>
      <c r="K48" t="s">
        <v>47</v>
      </c>
    </row>
    <row r="49" spans="1:11" x14ac:dyDescent="0.55000000000000004">
      <c r="A49" s="41">
        <v>46041</v>
      </c>
      <c r="B49">
        <v>3570</v>
      </c>
      <c r="C49">
        <v>5355</v>
      </c>
      <c r="D49">
        <v>2000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13916</v>
      </c>
      <c r="K49" t="s">
        <v>47</v>
      </c>
    </row>
    <row r="50" spans="1:11" x14ac:dyDescent="0.55000000000000004">
      <c r="A50" s="41">
        <v>46042</v>
      </c>
      <c r="B50">
        <v>3570</v>
      </c>
      <c r="C50">
        <v>5355</v>
      </c>
      <c r="D50">
        <v>2000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13916</v>
      </c>
      <c r="K5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0"/>
  <sheetViews>
    <sheetView workbookViewId="0"/>
  </sheetViews>
  <sheetFormatPr defaultRowHeight="14.4" x14ac:dyDescent="0.55000000000000004"/>
  <sheetData>
    <row r="1" spans="1:13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55000000000000004">
      <c r="A2" s="41">
        <v>46027</v>
      </c>
      <c r="B2" t="s">
        <v>35</v>
      </c>
      <c r="C2" t="s">
        <v>35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36</v>
      </c>
    </row>
    <row r="3" spans="1:13" x14ac:dyDescent="0.55000000000000004">
      <c r="A3" t="s">
        <v>37</v>
      </c>
      <c r="B3" t="s">
        <v>38</v>
      </c>
      <c r="C3" t="s">
        <v>39</v>
      </c>
      <c r="D3" t="s">
        <v>28</v>
      </c>
      <c r="E3" t="s">
        <v>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</row>
    <row r="4" spans="1:13" x14ac:dyDescent="0.55000000000000004">
      <c r="A4" s="41">
        <v>45996</v>
      </c>
      <c r="B4">
        <v>3964</v>
      </c>
      <c r="C4">
        <v>1807</v>
      </c>
      <c r="D4">
        <v>1210</v>
      </c>
      <c r="E4">
        <v>11078</v>
      </c>
      <c r="F4">
        <v>21</v>
      </c>
      <c r="G4">
        <v>278</v>
      </c>
      <c r="H4">
        <v>61</v>
      </c>
      <c r="I4">
        <v>0</v>
      </c>
      <c r="J4">
        <v>0</v>
      </c>
      <c r="K4" t="s">
        <v>46</v>
      </c>
    </row>
    <row r="5" spans="1:13" x14ac:dyDescent="0.55000000000000004">
      <c r="A5" s="41">
        <v>45997</v>
      </c>
      <c r="B5">
        <v>3964</v>
      </c>
      <c r="C5">
        <v>1844</v>
      </c>
      <c r="D5">
        <v>1190</v>
      </c>
      <c r="E5">
        <v>10520</v>
      </c>
      <c r="F5">
        <v>24</v>
      </c>
      <c r="G5">
        <v>279</v>
      </c>
      <c r="H5">
        <v>60</v>
      </c>
      <c r="I5">
        <v>0</v>
      </c>
      <c r="J5">
        <v>0</v>
      </c>
      <c r="K5" t="s">
        <v>46</v>
      </c>
    </row>
    <row r="6" spans="1:13" x14ac:dyDescent="0.55000000000000004">
      <c r="A6" s="41">
        <v>45998</v>
      </c>
      <c r="B6">
        <v>3942</v>
      </c>
      <c r="C6">
        <v>1929</v>
      </c>
      <c r="D6">
        <v>1170</v>
      </c>
      <c r="E6">
        <v>10610</v>
      </c>
      <c r="F6">
        <v>24</v>
      </c>
      <c r="G6">
        <v>277</v>
      </c>
      <c r="H6">
        <v>60</v>
      </c>
      <c r="I6">
        <v>0</v>
      </c>
      <c r="J6">
        <v>0</v>
      </c>
      <c r="K6" t="s">
        <v>46</v>
      </c>
    </row>
    <row r="7" spans="1:13" x14ac:dyDescent="0.55000000000000004">
      <c r="A7" s="41">
        <v>45999</v>
      </c>
      <c r="B7">
        <v>3961</v>
      </c>
      <c r="C7">
        <v>1927</v>
      </c>
      <c r="D7">
        <v>1165</v>
      </c>
      <c r="E7">
        <v>10336</v>
      </c>
      <c r="F7">
        <v>24</v>
      </c>
      <c r="G7">
        <v>279</v>
      </c>
      <c r="H7">
        <v>62</v>
      </c>
      <c r="I7">
        <v>0</v>
      </c>
      <c r="J7">
        <v>0</v>
      </c>
      <c r="K7" t="s">
        <v>46</v>
      </c>
    </row>
    <row r="8" spans="1:13" x14ac:dyDescent="0.55000000000000004">
      <c r="A8" s="41">
        <v>46000</v>
      </c>
      <c r="B8">
        <v>3910</v>
      </c>
      <c r="C8">
        <v>1927</v>
      </c>
      <c r="D8">
        <v>1228</v>
      </c>
      <c r="E8">
        <v>10524</v>
      </c>
      <c r="F8">
        <v>24</v>
      </c>
      <c r="G8">
        <v>281</v>
      </c>
      <c r="H8">
        <v>61</v>
      </c>
      <c r="I8">
        <v>0</v>
      </c>
      <c r="J8">
        <v>0</v>
      </c>
      <c r="K8" t="s">
        <v>46</v>
      </c>
    </row>
    <row r="9" spans="1:13" x14ac:dyDescent="0.55000000000000004">
      <c r="A9" s="41">
        <v>46001</v>
      </c>
      <c r="B9">
        <v>3961</v>
      </c>
      <c r="C9">
        <v>1893</v>
      </c>
      <c r="D9">
        <v>1250</v>
      </c>
      <c r="E9">
        <v>10464</v>
      </c>
      <c r="F9">
        <v>24</v>
      </c>
      <c r="G9">
        <v>292</v>
      </c>
      <c r="H9">
        <v>60</v>
      </c>
      <c r="I9">
        <v>0</v>
      </c>
      <c r="J9">
        <v>0</v>
      </c>
      <c r="K9" t="s">
        <v>46</v>
      </c>
    </row>
    <row r="10" spans="1:13" x14ac:dyDescent="0.55000000000000004">
      <c r="A10" s="41">
        <v>46002</v>
      </c>
      <c r="B10">
        <v>3929</v>
      </c>
      <c r="C10">
        <v>1915</v>
      </c>
      <c r="D10">
        <v>1235</v>
      </c>
      <c r="E10">
        <v>10393</v>
      </c>
      <c r="F10">
        <v>24</v>
      </c>
      <c r="G10">
        <v>280</v>
      </c>
      <c r="H10">
        <v>60</v>
      </c>
      <c r="I10">
        <v>0</v>
      </c>
      <c r="J10">
        <v>0</v>
      </c>
      <c r="K10" t="s">
        <v>46</v>
      </c>
    </row>
    <row r="11" spans="1:13" x14ac:dyDescent="0.55000000000000004">
      <c r="A11" s="41">
        <v>46003</v>
      </c>
      <c r="B11">
        <v>3952</v>
      </c>
      <c r="C11">
        <v>1915</v>
      </c>
      <c r="D11">
        <v>1161</v>
      </c>
      <c r="E11">
        <v>10195</v>
      </c>
      <c r="F11">
        <v>24</v>
      </c>
      <c r="G11">
        <v>284</v>
      </c>
      <c r="H11">
        <v>59</v>
      </c>
      <c r="I11">
        <v>0</v>
      </c>
      <c r="J11">
        <v>0</v>
      </c>
      <c r="K11" t="s">
        <v>46</v>
      </c>
    </row>
    <row r="12" spans="1:13" x14ac:dyDescent="0.55000000000000004">
      <c r="A12" s="41">
        <v>46004</v>
      </c>
      <c r="B12">
        <v>3956</v>
      </c>
      <c r="C12">
        <v>1919</v>
      </c>
      <c r="D12">
        <v>1133</v>
      </c>
      <c r="E12">
        <v>9935</v>
      </c>
      <c r="F12">
        <v>24</v>
      </c>
      <c r="G12">
        <v>312</v>
      </c>
      <c r="H12">
        <v>59</v>
      </c>
      <c r="I12">
        <v>0</v>
      </c>
      <c r="J12">
        <v>0</v>
      </c>
      <c r="K12" t="s">
        <v>46</v>
      </c>
    </row>
    <row r="13" spans="1:13" x14ac:dyDescent="0.55000000000000004">
      <c r="A13" s="41">
        <v>46005</v>
      </c>
      <c r="B13">
        <v>3963</v>
      </c>
      <c r="C13">
        <v>1922</v>
      </c>
      <c r="D13">
        <v>1125</v>
      </c>
      <c r="E13">
        <v>9724</v>
      </c>
      <c r="F13">
        <v>24</v>
      </c>
      <c r="G13">
        <v>319</v>
      </c>
      <c r="H13">
        <v>58</v>
      </c>
      <c r="I13">
        <v>0</v>
      </c>
      <c r="J13">
        <v>0</v>
      </c>
      <c r="K13" t="s">
        <v>46</v>
      </c>
    </row>
    <row r="14" spans="1:13" x14ac:dyDescent="0.55000000000000004">
      <c r="A14" s="41">
        <v>46006</v>
      </c>
      <c r="B14">
        <v>3960</v>
      </c>
      <c r="C14">
        <v>1829</v>
      </c>
      <c r="D14">
        <v>1121</v>
      </c>
      <c r="E14">
        <v>9847</v>
      </c>
      <c r="F14">
        <v>24</v>
      </c>
      <c r="G14">
        <v>290</v>
      </c>
      <c r="H14">
        <v>57</v>
      </c>
      <c r="I14">
        <v>0</v>
      </c>
      <c r="J14">
        <v>0</v>
      </c>
      <c r="K14" t="s">
        <v>46</v>
      </c>
    </row>
    <row r="15" spans="1:13" x14ac:dyDescent="0.55000000000000004">
      <c r="A15" s="41">
        <v>46007</v>
      </c>
      <c r="B15">
        <v>3172</v>
      </c>
      <c r="C15">
        <v>1922</v>
      </c>
      <c r="D15">
        <v>1096</v>
      </c>
      <c r="E15">
        <v>10204</v>
      </c>
      <c r="F15">
        <v>24</v>
      </c>
      <c r="G15">
        <v>269</v>
      </c>
      <c r="H15">
        <v>57</v>
      </c>
      <c r="I15">
        <v>0</v>
      </c>
      <c r="J15">
        <v>0</v>
      </c>
      <c r="K15" t="s">
        <v>46</v>
      </c>
    </row>
    <row r="16" spans="1:13" x14ac:dyDescent="0.55000000000000004">
      <c r="A16" s="41">
        <v>46008</v>
      </c>
      <c r="B16">
        <v>3147</v>
      </c>
      <c r="C16">
        <v>1924</v>
      </c>
      <c r="D16">
        <v>1071</v>
      </c>
      <c r="E16">
        <v>10492</v>
      </c>
      <c r="F16">
        <v>24</v>
      </c>
      <c r="G16">
        <v>280</v>
      </c>
      <c r="H16">
        <v>59</v>
      </c>
      <c r="I16">
        <v>0</v>
      </c>
      <c r="J16">
        <v>0</v>
      </c>
      <c r="K16" t="s">
        <v>46</v>
      </c>
    </row>
    <row r="17" spans="1:11" x14ac:dyDescent="0.55000000000000004">
      <c r="A17" s="41">
        <v>46009</v>
      </c>
      <c r="B17">
        <v>3965</v>
      </c>
      <c r="C17">
        <v>1927</v>
      </c>
      <c r="D17">
        <v>1092</v>
      </c>
      <c r="E17">
        <v>10806</v>
      </c>
      <c r="F17">
        <v>24</v>
      </c>
      <c r="G17">
        <v>284</v>
      </c>
      <c r="H17">
        <v>68</v>
      </c>
      <c r="I17">
        <v>0</v>
      </c>
      <c r="J17">
        <v>0</v>
      </c>
      <c r="K17" t="s">
        <v>46</v>
      </c>
    </row>
    <row r="18" spans="1:11" x14ac:dyDescent="0.55000000000000004">
      <c r="A18" s="41">
        <v>46010</v>
      </c>
      <c r="B18">
        <v>5931</v>
      </c>
      <c r="C18">
        <v>1949</v>
      </c>
      <c r="D18">
        <v>1747</v>
      </c>
      <c r="E18">
        <v>11679</v>
      </c>
      <c r="F18">
        <v>91</v>
      </c>
      <c r="G18">
        <v>281</v>
      </c>
      <c r="H18">
        <v>90</v>
      </c>
      <c r="I18">
        <v>0</v>
      </c>
      <c r="J18">
        <v>0</v>
      </c>
      <c r="K18" t="s">
        <v>46</v>
      </c>
    </row>
    <row r="19" spans="1:11" x14ac:dyDescent="0.55000000000000004">
      <c r="A19" s="41">
        <v>46011</v>
      </c>
      <c r="B19">
        <v>10880</v>
      </c>
      <c r="C19">
        <v>5275</v>
      </c>
      <c r="D19">
        <v>3558</v>
      </c>
      <c r="E19">
        <v>13236</v>
      </c>
      <c r="F19">
        <v>150</v>
      </c>
      <c r="G19">
        <v>281</v>
      </c>
      <c r="H19">
        <v>96</v>
      </c>
      <c r="I19">
        <v>0</v>
      </c>
      <c r="J19">
        <v>0</v>
      </c>
      <c r="K19" t="s">
        <v>46</v>
      </c>
    </row>
    <row r="20" spans="1:11" x14ac:dyDescent="0.55000000000000004">
      <c r="A20" s="41">
        <v>46012</v>
      </c>
      <c r="B20">
        <v>12873</v>
      </c>
      <c r="C20">
        <v>6992</v>
      </c>
      <c r="D20">
        <v>4848</v>
      </c>
      <c r="E20">
        <v>18038</v>
      </c>
      <c r="F20">
        <v>150</v>
      </c>
      <c r="G20">
        <v>283</v>
      </c>
      <c r="H20">
        <v>166</v>
      </c>
      <c r="I20">
        <v>0</v>
      </c>
      <c r="J20">
        <v>0</v>
      </c>
      <c r="K20" t="s">
        <v>46</v>
      </c>
    </row>
    <row r="21" spans="1:11" x14ac:dyDescent="0.55000000000000004">
      <c r="A21" s="41">
        <v>46013</v>
      </c>
      <c r="B21">
        <v>10892</v>
      </c>
      <c r="C21">
        <v>7004</v>
      </c>
      <c r="D21">
        <v>5822</v>
      </c>
      <c r="E21">
        <v>20977</v>
      </c>
      <c r="F21">
        <v>150</v>
      </c>
      <c r="G21">
        <v>304</v>
      </c>
      <c r="H21">
        <v>539</v>
      </c>
      <c r="I21">
        <v>0</v>
      </c>
      <c r="J21">
        <v>0</v>
      </c>
      <c r="K21" t="s">
        <v>46</v>
      </c>
    </row>
    <row r="22" spans="1:11" x14ac:dyDescent="0.55000000000000004">
      <c r="A22" s="41">
        <v>46014</v>
      </c>
      <c r="B22">
        <v>14865</v>
      </c>
      <c r="C22">
        <v>8224</v>
      </c>
      <c r="D22">
        <v>6068</v>
      </c>
      <c r="E22">
        <v>33157</v>
      </c>
      <c r="F22">
        <v>151</v>
      </c>
      <c r="G22">
        <v>281</v>
      </c>
      <c r="H22">
        <v>1043</v>
      </c>
      <c r="I22">
        <v>0</v>
      </c>
      <c r="J22">
        <v>0</v>
      </c>
      <c r="K22" t="s">
        <v>46</v>
      </c>
    </row>
    <row r="23" spans="1:11" x14ac:dyDescent="0.55000000000000004">
      <c r="A23" s="41">
        <v>46015</v>
      </c>
      <c r="B23">
        <v>7326</v>
      </c>
      <c r="C23">
        <v>8072</v>
      </c>
      <c r="D23">
        <v>5780</v>
      </c>
      <c r="E23">
        <v>47908</v>
      </c>
      <c r="F23">
        <v>153</v>
      </c>
      <c r="G23">
        <v>332</v>
      </c>
      <c r="H23">
        <v>2010</v>
      </c>
      <c r="I23">
        <v>0</v>
      </c>
      <c r="J23">
        <v>0</v>
      </c>
      <c r="K23" t="s">
        <v>46</v>
      </c>
    </row>
    <row r="24" spans="1:11" x14ac:dyDescent="0.55000000000000004">
      <c r="A24" s="41">
        <v>46016</v>
      </c>
      <c r="B24">
        <v>3750</v>
      </c>
      <c r="C24">
        <v>8097</v>
      </c>
      <c r="D24">
        <v>5256</v>
      </c>
      <c r="E24">
        <v>57117</v>
      </c>
      <c r="F24">
        <v>147</v>
      </c>
      <c r="G24">
        <v>365</v>
      </c>
      <c r="H24">
        <v>4172</v>
      </c>
      <c r="I24">
        <v>0</v>
      </c>
      <c r="J24">
        <v>0</v>
      </c>
      <c r="K24" t="s">
        <v>46</v>
      </c>
    </row>
    <row r="25" spans="1:11" x14ac:dyDescent="0.55000000000000004">
      <c r="A25" s="41">
        <v>46017</v>
      </c>
      <c r="B25">
        <v>8121</v>
      </c>
      <c r="C25">
        <v>7031</v>
      </c>
      <c r="D25">
        <v>4453</v>
      </c>
      <c r="E25">
        <v>65265</v>
      </c>
      <c r="F25">
        <v>197</v>
      </c>
      <c r="G25">
        <v>319</v>
      </c>
      <c r="H25">
        <v>2982</v>
      </c>
      <c r="I25">
        <v>0</v>
      </c>
      <c r="J25">
        <v>9183</v>
      </c>
      <c r="K25" t="s">
        <v>46</v>
      </c>
    </row>
    <row r="26" spans="1:11" x14ac:dyDescent="0.55000000000000004">
      <c r="A26" s="41">
        <v>46018</v>
      </c>
      <c r="B26">
        <v>7302</v>
      </c>
      <c r="C26">
        <v>6976</v>
      </c>
      <c r="D26">
        <v>4074</v>
      </c>
      <c r="E26">
        <v>69619</v>
      </c>
      <c r="F26">
        <v>245</v>
      </c>
      <c r="G26">
        <v>677</v>
      </c>
      <c r="H26">
        <v>1901</v>
      </c>
      <c r="I26">
        <v>0</v>
      </c>
      <c r="J26">
        <v>37180</v>
      </c>
      <c r="K26" t="s">
        <v>46</v>
      </c>
    </row>
    <row r="27" spans="1:11" x14ac:dyDescent="0.55000000000000004">
      <c r="A27" s="41">
        <v>46019</v>
      </c>
      <c r="B27">
        <v>7119</v>
      </c>
      <c r="C27">
        <v>6996</v>
      </c>
      <c r="D27">
        <v>3487</v>
      </c>
      <c r="E27">
        <v>69585</v>
      </c>
      <c r="F27">
        <v>241</v>
      </c>
      <c r="G27">
        <v>757</v>
      </c>
      <c r="H27">
        <v>1213</v>
      </c>
      <c r="I27">
        <v>0</v>
      </c>
      <c r="J27">
        <v>39848</v>
      </c>
      <c r="K27" t="s">
        <v>46</v>
      </c>
    </row>
    <row r="28" spans="1:11" x14ac:dyDescent="0.55000000000000004">
      <c r="A28" s="41">
        <v>46020</v>
      </c>
      <c r="B28">
        <v>3951</v>
      </c>
      <c r="C28">
        <v>6991</v>
      </c>
      <c r="D28">
        <v>2587</v>
      </c>
      <c r="E28">
        <v>68553</v>
      </c>
      <c r="F28">
        <v>246</v>
      </c>
      <c r="G28">
        <v>767</v>
      </c>
      <c r="H28">
        <v>897</v>
      </c>
      <c r="I28">
        <v>0</v>
      </c>
      <c r="J28">
        <v>30134</v>
      </c>
      <c r="K28" t="s">
        <v>46</v>
      </c>
    </row>
    <row r="29" spans="1:11" x14ac:dyDescent="0.55000000000000004">
      <c r="A29" s="41">
        <v>46021</v>
      </c>
      <c r="B29">
        <v>3569</v>
      </c>
      <c r="C29">
        <v>7014</v>
      </c>
      <c r="D29">
        <v>2152</v>
      </c>
      <c r="E29">
        <v>64801</v>
      </c>
      <c r="F29">
        <v>240</v>
      </c>
      <c r="G29">
        <v>791</v>
      </c>
      <c r="H29">
        <v>713</v>
      </c>
      <c r="I29">
        <v>0</v>
      </c>
      <c r="J29">
        <v>10944</v>
      </c>
      <c r="K29" t="s">
        <v>46</v>
      </c>
    </row>
    <row r="30" spans="1:11" x14ac:dyDescent="0.55000000000000004">
      <c r="A30" s="41">
        <v>46022</v>
      </c>
      <c r="B30">
        <v>3360</v>
      </c>
      <c r="C30">
        <v>7043</v>
      </c>
      <c r="D30">
        <v>1934</v>
      </c>
      <c r="E30">
        <v>61200</v>
      </c>
      <c r="F30">
        <v>252</v>
      </c>
      <c r="G30">
        <v>1049</v>
      </c>
      <c r="H30">
        <v>598</v>
      </c>
      <c r="I30">
        <v>0</v>
      </c>
      <c r="J30">
        <v>165</v>
      </c>
      <c r="K30" t="s">
        <v>46</v>
      </c>
    </row>
    <row r="31" spans="1:11" x14ac:dyDescent="0.55000000000000004">
      <c r="A31" s="41">
        <v>46023</v>
      </c>
      <c r="B31">
        <v>3355</v>
      </c>
      <c r="C31">
        <v>7087</v>
      </c>
      <c r="D31">
        <v>1874</v>
      </c>
      <c r="E31">
        <v>56858</v>
      </c>
      <c r="F31">
        <v>250</v>
      </c>
      <c r="G31">
        <v>1150</v>
      </c>
      <c r="H31">
        <v>1049</v>
      </c>
      <c r="I31">
        <v>0</v>
      </c>
      <c r="J31">
        <v>0</v>
      </c>
      <c r="K31" t="s">
        <v>46</v>
      </c>
    </row>
    <row r="32" spans="1:11" x14ac:dyDescent="0.55000000000000004">
      <c r="A32" s="41">
        <v>46024</v>
      </c>
      <c r="B32">
        <v>3355</v>
      </c>
      <c r="C32">
        <v>7016</v>
      </c>
      <c r="D32">
        <v>1928</v>
      </c>
      <c r="E32">
        <v>53809</v>
      </c>
      <c r="F32">
        <v>314</v>
      </c>
      <c r="G32">
        <v>1133</v>
      </c>
      <c r="H32">
        <v>2012</v>
      </c>
      <c r="I32">
        <v>0</v>
      </c>
      <c r="J32">
        <v>0</v>
      </c>
      <c r="K32" t="s">
        <v>46</v>
      </c>
    </row>
    <row r="33" spans="1:11" x14ac:dyDescent="0.55000000000000004">
      <c r="A33" s="41">
        <v>46025</v>
      </c>
      <c r="B33">
        <v>3168</v>
      </c>
      <c r="C33">
        <v>5389</v>
      </c>
      <c r="D33">
        <v>2495</v>
      </c>
      <c r="E33">
        <v>55873</v>
      </c>
      <c r="F33">
        <v>414</v>
      </c>
      <c r="G33">
        <v>1153</v>
      </c>
      <c r="H33">
        <v>3166</v>
      </c>
      <c r="I33">
        <v>0</v>
      </c>
      <c r="J33">
        <v>0</v>
      </c>
      <c r="K33" t="s">
        <v>46</v>
      </c>
    </row>
    <row r="34" spans="1:11" x14ac:dyDescent="0.55000000000000004">
      <c r="A34" s="41">
        <v>46026</v>
      </c>
      <c r="B34">
        <v>7135</v>
      </c>
      <c r="C34">
        <v>5338</v>
      </c>
      <c r="D34">
        <v>2583</v>
      </c>
      <c r="E34">
        <v>67019</v>
      </c>
      <c r="F34">
        <v>437</v>
      </c>
      <c r="G34">
        <v>1345</v>
      </c>
      <c r="H34">
        <v>6278</v>
      </c>
      <c r="I34">
        <v>0</v>
      </c>
      <c r="J34">
        <v>13916</v>
      </c>
      <c r="K34" t="s">
        <v>46</v>
      </c>
    </row>
    <row r="35" spans="1:11" x14ac:dyDescent="0.55000000000000004">
      <c r="A35" s="41">
        <v>46027</v>
      </c>
      <c r="B35">
        <v>5554</v>
      </c>
      <c r="C35">
        <v>6942</v>
      </c>
      <c r="D35">
        <v>3278</v>
      </c>
      <c r="E35">
        <v>75792</v>
      </c>
      <c r="F35">
        <v>437</v>
      </c>
      <c r="G35">
        <v>1345</v>
      </c>
      <c r="H35">
        <v>5051</v>
      </c>
      <c r="I35">
        <v>0</v>
      </c>
      <c r="J35">
        <v>13916</v>
      </c>
      <c r="K35" t="s">
        <v>47</v>
      </c>
    </row>
    <row r="36" spans="1:11" x14ac:dyDescent="0.55000000000000004">
      <c r="A36" s="41">
        <v>46028</v>
      </c>
      <c r="B36">
        <v>6347</v>
      </c>
      <c r="C36">
        <v>6942</v>
      </c>
      <c r="D36">
        <v>5826</v>
      </c>
      <c r="E36">
        <v>75535</v>
      </c>
      <c r="F36">
        <v>400</v>
      </c>
      <c r="G36">
        <v>1100</v>
      </c>
      <c r="H36">
        <v>2877</v>
      </c>
      <c r="I36">
        <v>0</v>
      </c>
      <c r="J36">
        <v>13916</v>
      </c>
      <c r="K36" t="s">
        <v>47</v>
      </c>
    </row>
    <row r="37" spans="1:11" x14ac:dyDescent="0.55000000000000004">
      <c r="A37" s="41">
        <v>46029</v>
      </c>
      <c r="B37">
        <v>7537</v>
      </c>
      <c r="C37">
        <v>8331</v>
      </c>
      <c r="D37">
        <v>4254</v>
      </c>
      <c r="E37">
        <v>74943</v>
      </c>
      <c r="F37">
        <v>300</v>
      </c>
      <c r="G37">
        <v>1000</v>
      </c>
      <c r="H37">
        <v>2131</v>
      </c>
      <c r="I37">
        <v>0</v>
      </c>
      <c r="J37">
        <v>13916</v>
      </c>
      <c r="K37" t="s">
        <v>47</v>
      </c>
    </row>
    <row r="38" spans="1:11" x14ac:dyDescent="0.55000000000000004">
      <c r="A38" s="41">
        <v>46030</v>
      </c>
      <c r="B38">
        <v>6149</v>
      </c>
      <c r="C38">
        <v>8331</v>
      </c>
      <c r="D38">
        <v>3382</v>
      </c>
      <c r="E38">
        <v>74302</v>
      </c>
      <c r="F38">
        <v>250</v>
      </c>
      <c r="G38">
        <v>800</v>
      </c>
      <c r="H38">
        <v>1625</v>
      </c>
      <c r="I38">
        <v>0</v>
      </c>
      <c r="J38">
        <v>13916</v>
      </c>
      <c r="K38" t="s">
        <v>47</v>
      </c>
    </row>
    <row r="39" spans="1:11" x14ac:dyDescent="0.55000000000000004">
      <c r="A39" s="41">
        <v>46031</v>
      </c>
      <c r="B39">
        <v>5355</v>
      </c>
      <c r="C39">
        <v>8331</v>
      </c>
      <c r="D39">
        <v>3043</v>
      </c>
      <c r="E39">
        <v>73450</v>
      </c>
      <c r="F39">
        <v>250</v>
      </c>
      <c r="G39">
        <v>700</v>
      </c>
      <c r="H39">
        <v>1322</v>
      </c>
      <c r="I39">
        <v>0</v>
      </c>
      <c r="J39">
        <v>13916</v>
      </c>
      <c r="K39" t="s">
        <v>47</v>
      </c>
    </row>
    <row r="40" spans="1:11" x14ac:dyDescent="0.55000000000000004">
      <c r="A40" s="41">
        <v>46032</v>
      </c>
      <c r="B40">
        <v>6347</v>
      </c>
      <c r="C40">
        <v>6942</v>
      </c>
      <c r="D40">
        <v>2500</v>
      </c>
      <c r="E40">
        <v>72041</v>
      </c>
      <c r="F40">
        <v>250</v>
      </c>
      <c r="G40">
        <v>500</v>
      </c>
      <c r="H40">
        <v>1000</v>
      </c>
      <c r="I40">
        <v>0</v>
      </c>
      <c r="J40">
        <v>13916</v>
      </c>
      <c r="K40" t="s">
        <v>47</v>
      </c>
    </row>
    <row r="41" spans="1:11" x14ac:dyDescent="0.55000000000000004">
      <c r="A41" s="41">
        <v>46033</v>
      </c>
      <c r="B41">
        <v>5752</v>
      </c>
      <c r="C41">
        <v>6942</v>
      </c>
      <c r="D41">
        <v>2000</v>
      </c>
      <c r="E41">
        <v>70572</v>
      </c>
      <c r="F41">
        <v>250</v>
      </c>
      <c r="G41">
        <v>300</v>
      </c>
      <c r="H41">
        <v>700</v>
      </c>
      <c r="I41">
        <v>0</v>
      </c>
      <c r="J41">
        <v>13916</v>
      </c>
      <c r="K41" t="s">
        <v>47</v>
      </c>
    </row>
    <row r="42" spans="1:11" x14ac:dyDescent="0.55000000000000004">
      <c r="A42" s="41">
        <v>46034</v>
      </c>
      <c r="B42">
        <v>5355</v>
      </c>
      <c r="C42">
        <v>6942</v>
      </c>
      <c r="D42">
        <v>2000</v>
      </c>
      <c r="E42">
        <v>69004</v>
      </c>
      <c r="F42">
        <v>250</v>
      </c>
      <c r="G42">
        <v>300</v>
      </c>
      <c r="H42">
        <v>500</v>
      </c>
      <c r="I42">
        <v>0</v>
      </c>
      <c r="J42">
        <v>13916</v>
      </c>
      <c r="K42" t="s">
        <v>47</v>
      </c>
    </row>
    <row r="43" spans="1:11" x14ac:dyDescent="0.55000000000000004">
      <c r="A43" s="41">
        <v>46035</v>
      </c>
      <c r="B43">
        <v>5355</v>
      </c>
      <c r="C43">
        <v>6942</v>
      </c>
      <c r="D43">
        <v>2000</v>
      </c>
      <c r="E43">
        <v>66245</v>
      </c>
      <c r="F43">
        <v>250</v>
      </c>
      <c r="G43">
        <v>300</v>
      </c>
      <c r="H43">
        <v>500</v>
      </c>
      <c r="I43">
        <v>0</v>
      </c>
      <c r="J43">
        <v>13916</v>
      </c>
      <c r="K43" t="s">
        <v>47</v>
      </c>
    </row>
    <row r="44" spans="1:11" x14ac:dyDescent="0.55000000000000004">
      <c r="A44" s="41">
        <v>46036</v>
      </c>
      <c r="B44">
        <v>5355</v>
      </c>
      <c r="C44">
        <v>6942</v>
      </c>
      <c r="D44">
        <v>2000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13916</v>
      </c>
      <c r="K44" t="s">
        <v>47</v>
      </c>
    </row>
    <row r="45" spans="1:11" x14ac:dyDescent="0.55000000000000004">
      <c r="A45" s="41">
        <v>46037</v>
      </c>
      <c r="B45">
        <v>5355</v>
      </c>
      <c r="C45">
        <v>6942</v>
      </c>
      <c r="D45">
        <v>2000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13916</v>
      </c>
      <c r="K45" t="s">
        <v>47</v>
      </c>
    </row>
    <row r="46" spans="1:11" x14ac:dyDescent="0.55000000000000004">
      <c r="A46" s="41">
        <v>46038</v>
      </c>
      <c r="B46">
        <v>5355</v>
      </c>
      <c r="C46">
        <v>6942</v>
      </c>
      <c r="D46">
        <v>2000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13916</v>
      </c>
      <c r="K46" t="s">
        <v>47</v>
      </c>
    </row>
    <row r="47" spans="1:11" x14ac:dyDescent="0.55000000000000004">
      <c r="A47" s="41">
        <v>46039</v>
      </c>
      <c r="B47">
        <v>5355</v>
      </c>
      <c r="C47">
        <v>6942</v>
      </c>
      <c r="D47">
        <v>2000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13916</v>
      </c>
      <c r="K47" t="s">
        <v>47</v>
      </c>
    </row>
    <row r="48" spans="1:11" x14ac:dyDescent="0.55000000000000004">
      <c r="A48" s="41">
        <v>46040</v>
      </c>
      <c r="B48">
        <v>5355</v>
      </c>
      <c r="C48">
        <v>6942</v>
      </c>
      <c r="D48">
        <v>2000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13916</v>
      </c>
      <c r="K48" t="s">
        <v>47</v>
      </c>
    </row>
    <row r="49" spans="1:11" x14ac:dyDescent="0.55000000000000004">
      <c r="A49" s="41">
        <v>46041</v>
      </c>
      <c r="B49">
        <v>5355</v>
      </c>
      <c r="C49">
        <v>6942</v>
      </c>
      <c r="D49">
        <v>2000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13916</v>
      </c>
      <c r="K49" t="s">
        <v>47</v>
      </c>
    </row>
    <row r="50" spans="1:11" x14ac:dyDescent="0.55000000000000004">
      <c r="A50" s="41">
        <v>46042</v>
      </c>
      <c r="B50">
        <v>5355</v>
      </c>
      <c r="C50">
        <v>6942</v>
      </c>
      <c r="D50">
        <v>2000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13916</v>
      </c>
      <c r="K50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O50"/>
  <sheetViews>
    <sheetView workbookViewId="0">
      <selection activeCell="P12" sqref="P12"/>
    </sheetView>
  </sheetViews>
  <sheetFormatPr defaultRowHeight="14.4" x14ac:dyDescent="0.55000000000000004"/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34</v>
      </c>
    </row>
    <row r="2" spans="1:15" x14ac:dyDescent="0.55000000000000004">
      <c r="A2" s="41">
        <v>46027</v>
      </c>
      <c r="B2" t="s">
        <v>35</v>
      </c>
      <c r="C2" t="s">
        <v>35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36</v>
      </c>
    </row>
    <row r="3" spans="1:15" x14ac:dyDescent="0.55000000000000004">
      <c r="A3" t="s">
        <v>37</v>
      </c>
      <c r="B3" t="s">
        <v>38</v>
      </c>
      <c r="C3" t="s">
        <v>39</v>
      </c>
      <c r="D3" t="s">
        <v>28</v>
      </c>
      <c r="E3" t="s">
        <v>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M3" t="s">
        <v>45</v>
      </c>
    </row>
    <row r="4" spans="1:15" x14ac:dyDescent="0.55000000000000004">
      <c r="A4" s="41">
        <v>45996</v>
      </c>
      <c r="B4">
        <v>3964</v>
      </c>
      <c r="C4">
        <v>1807</v>
      </c>
      <c r="D4">
        <v>1210</v>
      </c>
      <c r="E4">
        <v>11078</v>
      </c>
      <c r="F4">
        <v>21</v>
      </c>
      <c r="G4">
        <v>278</v>
      </c>
      <c r="H4">
        <v>61</v>
      </c>
      <c r="I4">
        <v>0</v>
      </c>
      <c r="J4">
        <v>0</v>
      </c>
      <c r="K4" t="s">
        <v>46</v>
      </c>
    </row>
    <row r="5" spans="1:15" x14ac:dyDescent="0.55000000000000004">
      <c r="A5" s="41">
        <v>45997</v>
      </c>
      <c r="B5">
        <v>3964</v>
      </c>
      <c r="C5">
        <v>1844</v>
      </c>
      <c r="D5">
        <v>1190</v>
      </c>
      <c r="E5">
        <v>10520</v>
      </c>
      <c r="F5">
        <v>24</v>
      </c>
      <c r="G5">
        <v>279</v>
      </c>
      <c r="H5">
        <v>60</v>
      </c>
      <c r="I5">
        <v>0</v>
      </c>
      <c r="J5">
        <v>0</v>
      </c>
      <c r="K5" t="s">
        <v>46</v>
      </c>
    </row>
    <row r="6" spans="1:15" x14ac:dyDescent="0.55000000000000004">
      <c r="A6" s="41">
        <v>45998</v>
      </c>
      <c r="B6">
        <v>3942</v>
      </c>
      <c r="C6">
        <v>1929</v>
      </c>
      <c r="D6">
        <v>1170</v>
      </c>
      <c r="E6">
        <v>10610</v>
      </c>
      <c r="F6">
        <v>24</v>
      </c>
      <c r="G6">
        <v>277</v>
      </c>
      <c r="H6">
        <v>60</v>
      </c>
      <c r="I6">
        <v>0</v>
      </c>
      <c r="J6">
        <v>0</v>
      </c>
      <c r="K6" t="s">
        <v>46</v>
      </c>
    </row>
    <row r="7" spans="1:15" x14ac:dyDescent="0.55000000000000004">
      <c r="A7" s="41">
        <v>45999</v>
      </c>
      <c r="B7">
        <v>3961</v>
      </c>
      <c r="C7">
        <v>1927</v>
      </c>
      <c r="D7">
        <v>1165</v>
      </c>
      <c r="E7">
        <v>10336</v>
      </c>
      <c r="F7">
        <v>24</v>
      </c>
      <c r="G7">
        <v>279</v>
      </c>
      <c r="H7">
        <v>62</v>
      </c>
      <c r="I7">
        <v>0</v>
      </c>
      <c r="J7">
        <v>0</v>
      </c>
      <c r="K7" t="s">
        <v>46</v>
      </c>
    </row>
    <row r="8" spans="1:15" x14ac:dyDescent="0.55000000000000004">
      <c r="A8" s="41">
        <v>46000</v>
      </c>
      <c r="B8">
        <v>3910</v>
      </c>
      <c r="C8">
        <v>1927</v>
      </c>
      <c r="D8">
        <v>1228</v>
      </c>
      <c r="E8">
        <v>10524</v>
      </c>
      <c r="F8">
        <v>24</v>
      </c>
      <c r="G8">
        <v>281</v>
      </c>
      <c r="H8">
        <v>61</v>
      </c>
      <c r="I8">
        <v>0</v>
      </c>
      <c r="J8">
        <v>0</v>
      </c>
      <c r="K8" t="s">
        <v>46</v>
      </c>
    </row>
    <row r="9" spans="1:15" x14ac:dyDescent="0.55000000000000004">
      <c r="A9" s="41">
        <v>46001</v>
      </c>
      <c r="B9">
        <v>3961</v>
      </c>
      <c r="C9">
        <v>1893</v>
      </c>
      <c r="D9">
        <v>1250</v>
      </c>
      <c r="E9">
        <v>10464</v>
      </c>
      <c r="F9">
        <v>24</v>
      </c>
      <c r="G9">
        <v>292</v>
      </c>
      <c r="H9">
        <v>60</v>
      </c>
      <c r="I9">
        <v>0</v>
      </c>
      <c r="J9">
        <v>0</v>
      </c>
      <c r="K9" t="s">
        <v>46</v>
      </c>
    </row>
    <row r="10" spans="1:15" x14ac:dyDescent="0.55000000000000004">
      <c r="A10" s="41">
        <v>46002</v>
      </c>
      <c r="B10">
        <v>3929</v>
      </c>
      <c r="C10">
        <v>1915</v>
      </c>
      <c r="D10">
        <v>1235</v>
      </c>
      <c r="E10">
        <v>10393</v>
      </c>
      <c r="F10">
        <v>24</v>
      </c>
      <c r="G10">
        <v>280</v>
      </c>
      <c r="H10">
        <v>60</v>
      </c>
      <c r="I10">
        <v>0</v>
      </c>
      <c r="J10">
        <v>0</v>
      </c>
      <c r="K10" t="s">
        <v>46</v>
      </c>
    </row>
    <row r="11" spans="1:15" x14ac:dyDescent="0.55000000000000004">
      <c r="A11" s="41">
        <v>46003</v>
      </c>
      <c r="B11">
        <v>3952</v>
      </c>
      <c r="C11">
        <v>1915</v>
      </c>
      <c r="D11">
        <v>1161</v>
      </c>
      <c r="E11">
        <v>10195</v>
      </c>
      <c r="F11">
        <v>24</v>
      </c>
      <c r="G11">
        <v>284</v>
      </c>
      <c r="H11">
        <v>59</v>
      </c>
      <c r="I11">
        <v>0</v>
      </c>
      <c r="J11">
        <v>0</v>
      </c>
      <c r="K11" t="s">
        <v>46</v>
      </c>
    </row>
    <row r="12" spans="1:15" x14ac:dyDescent="0.55000000000000004">
      <c r="A12" s="41">
        <v>46004</v>
      </c>
      <c r="B12">
        <v>3956</v>
      </c>
      <c r="C12">
        <v>1919</v>
      </c>
      <c r="D12">
        <v>1133</v>
      </c>
      <c r="E12">
        <v>9935</v>
      </c>
      <c r="F12">
        <v>24</v>
      </c>
      <c r="G12">
        <v>312</v>
      </c>
      <c r="H12">
        <v>59</v>
      </c>
      <c r="I12">
        <v>0</v>
      </c>
      <c r="J12">
        <v>0</v>
      </c>
      <c r="K12" t="s">
        <v>46</v>
      </c>
    </row>
    <row r="13" spans="1:15" x14ac:dyDescent="0.55000000000000004">
      <c r="A13" s="41">
        <v>46005</v>
      </c>
      <c r="B13">
        <v>3963</v>
      </c>
      <c r="C13">
        <v>1922</v>
      </c>
      <c r="D13">
        <v>1125</v>
      </c>
      <c r="E13">
        <v>9724</v>
      </c>
      <c r="F13">
        <v>24</v>
      </c>
      <c r="G13">
        <v>319</v>
      </c>
      <c r="H13">
        <v>58</v>
      </c>
      <c r="I13">
        <v>0</v>
      </c>
      <c r="J13">
        <v>0</v>
      </c>
      <c r="K13" t="s">
        <v>46</v>
      </c>
    </row>
    <row r="14" spans="1:15" x14ac:dyDescent="0.55000000000000004">
      <c r="A14" s="41">
        <v>46006</v>
      </c>
      <c r="B14">
        <v>3960</v>
      </c>
      <c r="C14">
        <v>1829</v>
      </c>
      <c r="D14">
        <v>1121</v>
      </c>
      <c r="E14">
        <v>9847</v>
      </c>
      <c r="F14">
        <v>24</v>
      </c>
      <c r="G14">
        <v>290</v>
      </c>
      <c r="H14">
        <v>57</v>
      </c>
      <c r="I14">
        <v>0</v>
      </c>
      <c r="J14">
        <v>0</v>
      </c>
      <c r="K14" t="s">
        <v>46</v>
      </c>
    </row>
    <row r="15" spans="1:15" x14ac:dyDescent="0.55000000000000004">
      <c r="A15" s="41">
        <v>46007</v>
      </c>
      <c r="B15">
        <v>3172</v>
      </c>
      <c r="C15">
        <v>1922</v>
      </c>
      <c r="D15">
        <v>1096</v>
      </c>
      <c r="E15">
        <v>10204</v>
      </c>
      <c r="F15">
        <v>24</v>
      </c>
      <c r="G15">
        <v>269</v>
      </c>
      <c r="H15">
        <v>57</v>
      </c>
      <c r="I15">
        <v>0</v>
      </c>
      <c r="J15">
        <v>0</v>
      </c>
      <c r="K15" t="s">
        <v>46</v>
      </c>
    </row>
    <row r="16" spans="1:15" x14ac:dyDescent="0.55000000000000004">
      <c r="A16" s="41">
        <v>46008</v>
      </c>
      <c r="B16">
        <v>3147</v>
      </c>
      <c r="C16">
        <v>1924</v>
      </c>
      <c r="D16">
        <v>1071</v>
      </c>
      <c r="E16">
        <v>10492</v>
      </c>
      <c r="F16">
        <v>24</v>
      </c>
      <c r="G16">
        <v>280</v>
      </c>
      <c r="H16">
        <v>59</v>
      </c>
      <c r="I16">
        <v>0</v>
      </c>
      <c r="J16">
        <v>0</v>
      </c>
      <c r="K16" t="s">
        <v>46</v>
      </c>
    </row>
    <row r="17" spans="1:11" x14ac:dyDescent="0.55000000000000004">
      <c r="A17" s="41">
        <v>46009</v>
      </c>
      <c r="B17">
        <v>3965</v>
      </c>
      <c r="C17">
        <v>1927</v>
      </c>
      <c r="D17">
        <v>1092</v>
      </c>
      <c r="E17">
        <v>10806</v>
      </c>
      <c r="F17">
        <v>24</v>
      </c>
      <c r="G17">
        <v>284</v>
      </c>
      <c r="H17">
        <v>68</v>
      </c>
      <c r="I17">
        <v>0</v>
      </c>
      <c r="J17">
        <v>0</v>
      </c>
      <c r="K17" t="s">
        <v>46</v>
      </c>
    </row>
    <row r="18" spans="1:11" x14ac:dyDescent="0.55000000000000004">
      <c r="A18" s="41">
        <v>46010</v>
      </c>
      <c r="B18">
        <v>5931</v>
      </c>
      <c r="C18">
        <v>1949</v>
      </c>
      <c r="D18">
        <v>1747</v>
      </c>
      <c r="E18">
        <v>11679</v>
      </c>
      <c r="F18">
        <v>91</v>
      </c>
      <c r="G18">
        <v>281</v>
      </c>
      <c r="H18">
        <v>90</v>
      </c>
      <c r="I18">
        <v>0</v>
      </c>
      <c r="J18">
        <v>0</v>
      </c>
      <c r="K18" t="s">
        <v>46</v>
      </c>
    </row>
    <row r="19" spans="1:11" x14ac:dyDescent="0.55000000000000004">
      <c r="A19" s="41">
        <v>46011</v>
      </c>
      <c r="B19">
        <v>10880</v>
      </c>
      <c r="C19">
        <v>5275</v>
      </c>
      <c r="D19">
        <v>3558</v>
      </c>
      <c r="E19">
        <v>13236</v>
      </c>
      <c r="F19">
        <v>150</v>
      </c>
      <c r="G19">
        <v>281</v>
      </c>
      <c r="H19">
        <v>96</v>
      </c>
      <c r="I19">
        <v>0</v>
      </c>
      <c r="J19">
        <v>0</v>
      </c>
      <c r="K19" t="s">
        <v>46</v>
      </c>
    </row>
    <row r="20" spans="1:11" x14ac:dyDescent="0.55000000000000004">
      <c r="A20" s="41">
        <v>46012</v>
      </c>
      <c r="B20">
        <v>12873</v>
      </c>
      <c r="C20">
        <v>6992</v>
      </c>
      <c r="D20">
        <v>4848</v>
      </c>
      <c r="E20">
        <v>18038</v>
      </c>
      <c r="F20">
        <v>150</v>
      </c>
      <c r="G20">
        <v>283</v>
      </c>
      <c r="H20">
        <v>166</v>
      </c>
      <c r="I20">
        <v>0</v>
      </c>
      <c r="J20">
        <v>0</v>
      </c>
      <c r="K20" t="s">
        <v>46</v>
      </c>
    </row>
    <row r="21" spans="1:11" x14ac:dyDescent="0.55000000000000004">
      <c r="A21" s="41">
        <v>46013</v>
      </c>
      <c r="B21">
        <v>10892</v>
      </c>
      <c r="C21">
        <v>7004</v>
      </c>
      <c r="D21">
        <v>5822</v>
      </c>
      <c r="E21">
        <v>20977</v>
      </c>
      <c r="F21">
        <v>150</v>
      </c>
      <c r="G21">
        <v>304</v>
      </c>
      <c r="H21">
        <v>539</v>
      </c>
      <c r="I21">
        <v>0</v>
      </c>
      <c r="J21">
        <v>0</v>
      </c>
      <c r="K21" t="s">
        <v>46</v>
      </c>
    </row>
    <row r="22" spans="1:11" x14ac:dyDescent="0.55000000000000004">
      <c r="A22" s="41">
        <v>46014</v>
      </c>
      <c r="B22">
        <v>14865</v>
      </c>
      <c r="C22">
        <v>8224</v>
      </c>
      <c r="D22">
        <v>6068</v>
      </c>
      <c r="E22">
        <v>33157</v>
      </c>
      <c r="F22">
        <v>151</v>
      </c>
      <c r="G22">
        <v>281</v>
      </c>
      <c r="H22">
        <v>1043</v>
      </c>
      <c r="I22">
        <v>0</v>
      </c>
      <c r="J22">
        <v>0</v>
      </c>
      <c r="K22" t="s">
        <v>46</v>
      </c>
    </row>
    <row r="23" spans="1:11" x14ac:dyDescent="0.55000000000000004">
      <c r="A23" s="41">
        <v>46015</v>
      </c>
      <c r="B23">
        <v>7326</v>
      </c>
      <c r="C23">
        <v>8072</v>
      </c>
      <c r="D23">
        <v>5780</v>
      </c>
      <c r="E23">
        <v>47908</v>
      </c>
      <c r="F23">
        <v>153</v>
      </c>
      <c r="G23">
        <v>332</v>
      </c>
      <c r="H23">
        <v>2010</v>
      </c>
      <c r="I23">
        <v>0</v>
      </c>
      <c r="J23">
        <v>0</v>
      </c>
      <c r="K23" t="s">
        <v>46</v>
      </c>
    </row>
    <row r="24" spans="1:11" x14ac:dyDescent="0.55000000000000004">
      <c r="A24" s="41">
        <v>46016</v>
      </c>
      <c r="B24">
        <v>3750</v>
      </c>
      <c r="C24">
        <v>8097</v>
      </c>
      <c r="D24">
        <v>5256</v>
      </c>
      <c r="E24">
        <v>57117</v>
      </c>
      <c r="F24">
        <v>147</v>
      </c>
      <c r="G24">
        <v>365</v>
      </c>
      <c r="H24">
        <v>4172</v>
      </c>
      <c r="I24">
        <v>0</v>
      </c>
      <c r="J24">
        <v>0</v>
      </c>
      <c r="K24" t="s">
        <v>46</v>
      </c>
    </row>
    <row r="25" spans="1:11" x14ac:dyDescent="0.55000000000000004">
      <c r="A25" s="41">
        <v>46017</v>
      </c>
      <c r="B25">
        <v>8121</v>
      </c>
      <c r="C25">
        <v>7031</v>
      </c>
      <c r="D25">
        <v>4453</v>
      </c>
      <c r="E25">
        <v>65265</v>
      </c>
      <c r="F25">
        <v>197</v>
      </c>
      <c r="G25">
        <v>319</v>
      </c>
      <c r="H25">
        <v>2982</v>
      </c>
      <c r="I25">
        <v>0</v>
      </c>
      <c r="J25">
        <v>9183</v>
      </c>
      <c r="K25" t="s">
        <v>46</v>
      </c>
    </row>
    <row r="26" spans="1:11" x14ac:dyDescent="0.55000000000000004">
      <c r="A26" s="41">
        <v>46018</v>
      </c>
      <c r="B26">
        <v>7302</v>
      </c>
      <c r="C26">
        <v>6976</v>
      </c>
      <c r="D26">
        <v>4074</v>
      </c>
      <c r="E26">
        <v>69619</v>
      </c>
      <c r="F26">
        <v>245</v>
      </c>
      <c r="G26">
        <v>677</v>
      </c>
      <c r="H26">
        <v>1901</v>
      </c>
      <c r="I26">
        <v>0</v>
      </c>
      <c r="J26">
        <v>37180</v>
      </c>
      <c r="K26" t="s">
        <v>46</v>
      </c>
    </row>
    <row r="27" spans="1:11" x14ac:dyDescent="0.55000000000000004">
      <c r="A27" s="41">
        <v>46019</v>
      </c>
      <c r="B27">
        <v>7119</v>
      </c>
      <c r="C27">
        <v>6996</v>
      </c>
      <c r="D27">
        <v>3487</v>
      </c>
      <c r="E27">
        <v>69585</v>
      </c>
      <c r="F27">
        <v>241</v>
      </c>
      <c r="G27">
        <v>757</v>
      </c>
      <c r="H27">
        <v>1213</v>
      </c>
      <c r="I27">
        <v>0</v>
      </c>
      <c r="J27">
        <v>39848</v>
      </c>
      <c r="K27" t="s">
        <v>46</v>
      </c>
    </row>
    <row r="28" spans="1:11" x14ac:dyDescent="0.55000000000000004">
      <c r="A28" s="41">
        <v>46020</v>
      </c>
      <c r="B28">
        <v>3951</v>
      </c>
      <c r="C28">
        <v>6991</v>
      </c>
      <c r="D28">
        <v>2587</v>
      </c>
      <c r="E28">
        <v>68553</v>
      </c>
      <c r="F28">
        <v>246</v>
      </c>
      <c r="G28">
        <v>767</v>
      </c>
      <c r="H28">
        <v>897</v>
      </c>
      <c r="I28">
        <v>0</v>
      </c>
      <c r="J28">
        <v>30134</v>
      </c>
      <c r="K28" t="s">
        <v>46</v>
      </c>
    </row>
    <row r="29" spans="1:11" x14ac:dyDescent="0.55000000000000004">
      <c r="A29" s="41">
        <v>46021</v>
      </c>
      <c r="B29">
        <v>6000</v>
      </c>
      <c r="C29">
        <v>8400</v>
      </c>
      <c r="D29">
        <v>2152</v>
      </c>
      <c r="E29">
        <v>64801</v>
      </c>
      <c r="F29">
        <v>240</v>
      </c>
      <c r="G29">
        <v>791</v>
      </c>
      <c r="H29">
        <v>713</v>
      </c>
      <c r="I29">
        <v>0</v>
      </c>
      <c r="J29">
        <v>10944</v>
      </c>
      <c r="K29" t="s">
        <v>46</v>
      </c>
    </row>
    <row r="30" spans="1:11" x14ac:dyDescent="0.55000000000000004">
      <c r="A30" s="41">
        <v>46022</v>
      </c>
      <c r="B30">
        <v>6000</v>
      </c>
      <c r="C30">
        <v>8400</v>
      </c>
      <c r="D30">
        <v>1934</v>
      </c>
      <c r="E30">
        <v>61200</v>
      </c>
      <c r="F30">
        <v>252</v>
      </c>
      <c r="G30">
        <v>1049</v>
      </c>
      <c r="H30">
        <v>598</v>
      </c>
      <c r="I30">
        <v>0</v>
      </c>
      <c r="J30">
        <v>165</v>
      </c>
      <c r="K30" t="s">
        <v>46</v>
      </c>
    </row>
    <row r="31" spans="1:11" x14ac:dyDescent="0.55000000000000004">
      <c r="A31" s="41">
        <v>46023</v>
      </c>
      <c r="B31">
        <v>6400</v>
      </c>
      <c r="C31">
        <v>8400</v>
      </c>
      <c r="D31">
        <v>1874</v>
      </c>
      <c r="E31">
        <v>56858</v>
      </c>
      <c r="F31">
        <v>250</v>
      </c>
      <c r="G31">
        <v>1150</v>
      </c>
      <c r="H31">
        <v>1049</v>
      </c>
      <c r="I31">
        <v>0</v>
      </c>
      <c r="J31">
        <v>0</v>
      </c>
      <c r="K31" t="s">
        <v>46</v>
      </c>
    </row>
    <row r="32" spans="1:11" x14ac:dyDescent="0.55000000000000004">
      <c r="A32" s="41">
        <v>46024</v>
      </c>
      <c r="B32">
        <v>6400</v>
      </c>
      <c r="C32">
        <v>8400</v>
      </c>
      <c r="D32">
        <v>1928</v>
      </c>
      <c r="E32">
        <v>53809</v>
      </c>
      <c r="F32">
        <v>314</v>
      </c>
      <c r="G32">
        <v>1133</v>
      </c>
      <c r="H32">
        <v>2012</v>
      </c>
      <c r="I32">
        <v>0</v>
      </c>
      <c r="J32">
        <v>0</v>
      </c>
      <c r="K32" t="s">
        <v>46</v>
      </c>
    </row>
    <row r="33" spans="1:11" x14ac:dyDescent="0.55000000000000004">
      <c r="A33" s="41">
        <v>46025</v>
      </c>
      <c r="B33">
        <v>6500</v>
      </c>
      <c r="C33">
        <v>8400</v>
      </c>
      <c r="D33">
        <v>2495</v>
      </c>
      <c r="E33">
        <v>55873</v>
      </c>
      <c r="F33">
        <v>414</v>
      </c>
      <c r="G33">
        <v>1153</v>
      </c>
      <c r="H33">
        <v>3166</v>
      </c>
      <c r="I33">
        <v>0</v>
      </c>
      <c r="J33">
        <v>0</v>
      </c>
      <c r="K33" t="s">
        <v>46</v>
      </c>
    </row>
    <row r="34" spans="1:11" x14ac:dyDescent="0.55000000000000004">
      <c r="A34" s="41">
        <v>46026</v>
      </c>
      <c r="B34">
        <v>7100</v>
      </c>
      <c r="C34">
        <v>8400</v>
      </c>
      <c r="D34">
        <v>2583</v>
      </c>
      <c r="E34">
        <v>67019</v>
      </c>
      <c r="F34">
        <v>437</v>
      </c>
      <c r="G34">
        <v>1345</v>
      </c>
      <c r="H34">
        <v>6278</v>
      </c>
      <c r="I34">
        <v>0</v>
      </c>
      <c r="J34">
        <v>13916</v>
      </c>
      <c r="K34" t="s">
        <v>46</v>
      </c>
    </row>
    <row r="35" spans="1:11" x14ac:dyDescent="0.55000000000000004">
      <c r="A35" s="41">
        <v>46027</v>
      </c>
      <c r="B35">
        <v>7100</v>
      </c>
      <c r="C35">
        <v>8400</v>
      </c>
      <c r="D35">
        <v>3278</v>
      </c>
      <c r="E35">
        <v>75792</v>
      </c>
      <c r="F35">
        <v>437</v>
      </c>
      <c r="G35">
        <v>1345</v>
      </c>
      <c r="H35">
        <v>5051</v>
      </c>
      <c r="I35">
        <v>0</v>
      </c>
      <c r="J35">
        <v>13916</v>
      </c>
      <c r="K35" t="s">
        <v>47</v>
      </c>
    </row>
    <row r="36" spans="1:11" x14ac:dyDescent="0.55000000000000004">
      <c r="A36" s="41">
        <v>46028</v>
      </c>
      <c r="B36">
        <v>7600</v>
      </c>
      <c r="C36">
        <v>8800</v>
      </c>
      <c r="D36">
        <v>5826</v>
      </c>
      <c r="E36">
        <v>75535</v>
      </c>
      <c r="F36">
        <v>400</v>
      </c>
      <c r="G36">
        <v>1100</v>
      </c>
      <c r="H36">
        <v>2877</v>
      </c>
      <c r="I36">
        <v>0</v>
      </c>
      <c r="J36">
        <v>13916</v>
      </c>
      <c r="K36" t="s">
        <v>47</v>
      </c>
    </row>
    <row r="37" spans="1:11" x14ac:dyDescent="0.55000000000000004">
      <c r="A37" s="41">
        <v>46029</v>
      </c>
      <c r="B37">
        <v>9800</v>
      </c>
      <c r="C37">
        <v>9124</v>
      </c>
      <c r="D37">
        <v>4254</v>
      </c>
      <c r="E37">
        <v>74943</v>
      </c>
      <c r="F37">
        <v>300</v>
      </c>
      <c r="G37">
        <v>1000</v>
      </c>
      <c r="H37">
        <v>2131</v>
      </c>
      <c r="I37">
        <v>0</v>
      </c>
      <c r="J37">
        <v>13916</v>
      </c>
      <c r="K37" t="s">
        <v>47</v>
      </c>
    </row>
    <row r="38" spans="1:11" x14ac:dyDescent="0.55000000000000004">
      <c r="A38" s="41">
        <v>46030</v>
      </c>
      <c r="B38">
        <v>8300</v>
      </c>
      <c r="C38">
        <v>9124</v>
      </c>
      <c r="D38">
        <v>3382</v>
      </c>
      <c r="E38">
        <v>74302</v>
      </c>
      <c r="F38">
        <v>250</v>
      </c>
      <c r="G38">
        <v>800</v>
      </c>
      <c r="H38">
        <v>1625</v>
      </c>
      <c r="I38">
        <v>0</v>
      </c>
      <c r="J38">
        <v>13916</v>
      </c>
      <c r="K38" t="s">
        <v>47</v>
      </c>
    </row>
    <row r="39" spans="1:11" x14ac:dyDescent="0.55000000000000004">
      <c r="A39" s="41">
        <v>46031</v>
      </c>
      <c r="B39">
        <v>7400</v>
      </c>
      <c r="C39">
        <v>9124</v>
      </c>
      <c r="D39">
        <v>3043</v>
      </c>
      <c r="E39">
        <v>73450</v>
      </c>
      <c r="F39">
        <v>250</v>
      </c>
      <c r="G39">
        <v>700</v>
      </c>
      <c r="H39">
        <v>1322</v>
      </c>
      <c r="I39">
        <v>0</v>
      </c>
      <c r="J39">
        <v>13916</v>
      </c>
      <c r="K39" t="s">
        <v>47</v>
      </c>
    </row>
    <row r="40" spans="1:11" x14ac:dyDescent="0.55000000000000004">
      <c r="A40" s="41">
        <v>46032</v>
      </c>
      <c r="B40">
        <v>7100</v>
      </c>
      <c r="C40">
        <v>9124</v>
      </c>
      <c r="D40">
        <v>2500</v>
      </c>
      <c r="E40">
        <v>72041</v>
      </c>
      <c r="F40">
        <v>250</v>
      </c>
      <c r="G40">
        <v>500</v>
      </c>
      <c r="H40">
        <v>1000</v>
      </c>
      <c r="I40">
        <v>0</v>
      </c>
      <c r="J40">
        <v>13916</v>
      </c>
      <c r="K40" t="s">
        <v>47</v>
      </c>
    </row>
    <row r="41" spans="1:11" x14ac:dyDescent="0.55000000000000004">
      <c r="A41" s="41">
        <v>46033</v>
      </c>
      <c r="B41">
        <v>6500</v>
      </c>
      <c r="C41">
        <v>9124</v>
      </c>
      <c r="D41">
        <v>2000</v>
      </c>
      <c r="E41">
        <v>70572</v>
      </c>
      <c r="F41">
        <v>250</v>
      </c>
      <c r="G41">
        <v>300</v>
      </c>
      <c r="H41">
        <v>700</v>
      </c>
      <c r="I41">
        <v>0</v>
      </c>
      <c r="J41">
        <v>13916</v>
      </c>
      <c r="K41" t="s">
        <v>47</v>
      </c>
    </row>
    <row r="42" spans="1:11" x14ac:dyDescent="0.55000000000000004">
      <c r="A42" s="41">
        <v>46034</v>
      </c>
      <c r="B42">
        <v>6400</v>
      </c>
      <c r="C42">
        <v>8800</v>
      </c>
      <c r="D42">
        <v>2000</v>
      </c>
      <c r="E42">
        <v>69004</v>
      </c>
      <c r="F42">
        <v>250</v>
      </c>
      <c r="G42">
        <v>300</v>
      </c>
      <c r="H42">
        <v>500</v>
      </c>
      <c r="I42">
        <v>0</v>
      </c>
      <c r="J42">
        <v>13916</v>
      </c>
      <c r="K42" t="s">
        <v>47</v>
      </c>
    </row>
    <row r="43" spans="1:11" x14ac:dyDescent="0.55000000000000004">
      <c r="A43" s="41">
        <v>46035</v>
      </c>
      <c r="B43">
        <v>6400</v>
      </c>
      <c r="C43">
        <v>8800</v>
      </c>
      <c r="D43">
        <v>2000</v>
      </c>
      <c r="E43">
        <v>66245</v>
      </c>
      <c r="F43">
        <v>250</v>
      </c>
      <c r="G43">
        <v>300</v>
      </c>
      <c r="H43">
        <v>500</v>
      </c>
      <c r="I43">
        <v>0</v>
      </c>
      <c r="J43">
        <v>13916</v>
      </c>
      <c r="K43" t="s">
        <v>47</v>
      </c>
    </row>
    <row r="44" spans="1:11" x14ac:dyDescent="0.55000000000000004">
      <c r="A44" s="41">
        <v>46036</v>
      </c>
      <c r="B44">
        <v>6400</v>
      </c>
      <c r="C44">
        <v>8800</v>
      </c>
      <c r="D44">
        <v>2000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13916</v>
      </c>
      <c r="K44" t="s">
        <v>47</v>
      </c>
    </row>
    <row r="45" spans="1:11" x14ac:dyDescent="0.55000000000000004">
      <c r="A45" s="41">
        <v>46037</v>
      </c>
      <c r="B45">
        <v>6400</v>
      </c>
      <c r="C45">
        <v>8800</v>
      </c>
      <c r="D45">
        <v>2000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13916</v>
      </c>
      <c r="K45" t="s">
        <v>47</v>
      </c>
    </row>
    <row r="46" spans="1:11" x14ac:dyDescent="0.55000000000000004">
      <c r="A46" s="41">
        <v>46038</v>
      </c>
      <c r="B46">
        <v>6400</v>
      </c>
      <c r="C46">
        <v>8800</v>
      </c>
      <c r="D46">
        <v>2000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13916</v>
      </c>
      <c r="K46" t="s">
        <v>47</v>
      </c>
    </row>
    <row r="47" spans="1:11" x14ac:dyDescent="0.55000000000000004">
      <c r="A47" s="41">
        <v>46039</v>
      </c>
      <c r="B47">
        <v>6400</v>
      </c>
      <c r="C47">
        <v>8800</v>
      </c>
      <c r="D47">
        <v>2000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13916</v>
      </c>
      <c r="K47" t="s">
        <v>47</v>
      </c>
    </row>
    <row r="48" spans="1:11" x14ac:dyDescent="0.55000000000000004">
      <c r="A48" s="41">
        <v>46040</v>
      </c>
      <c r="B48">
        <v>6400</v>
      </c>
      <c r="C48">
        <v>8800</v>
      </c>
      <c r="D48">
        <v>2000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13916</v>
      </c>
      <c r="K48" t="s">
        <v>47</v>
      </c>
    </row>
    <row r="49" spans="1:11" x14ac:dyDescent="0.55000000000000004">
      <c r="A49" s="41">
        <v>46041</v>
      </c>
      <c r="B49">
        <v>6400</v>
      </c>
      <c r="C49">
        <v>8800</v>
      </c>
      <c r="D49">
        <v>2000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13916</v>
      </c>
      <c r="K49" t="s">
        <v>47</v>
      </c>
    </row>
    <row r="50" spans="1:11" x14ac:dyDescent="0.55000000000000004">
      <c r="A50" s="41">
        <v>46042</v>
      </c>
      <c r="B50">
        <v>6400</v>
      </c>
      <c r="C50">
        <v>8800</v>
      </c>
      <c r="D50">
        <v>2000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13916</v>
      </c>
      <c r="K5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plot_example</vt:lpstr>
      <vt:lpstr>01_05_OMRI -2000</vt:lpstr>
      <vt:lpstr>01_05_OMRI -3500</vt:lpstr>
      <vt:lpstr>01_05_OMRI -5000</vt:lpstr>
      <vt:lpstr>01_05_OMRI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2026-01-07T19:50:57Z</dcterms:created>
  <dcterms:modified xsi:type="dcterms:W3CDTF">2026-01-09T00:29:48Z</dcterms:modified>
</cp:coreProperties>
</file>