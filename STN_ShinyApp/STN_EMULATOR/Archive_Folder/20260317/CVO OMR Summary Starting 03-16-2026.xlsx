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184031982\6.0 Studies and Reports\Task_02_Real_Time_Assessment\DSM2_real_time_support\Model\DataExternal\20260317\"/>
    </mc:Choice>
  </mc:AlternateContent>
  <xr:revisionPtr revIDLastSave="0" documentId="13_ncr:1_{B35976AC-EC6E-4F7A-890C-ACAF632A7208}" xr6:coauthVersionLast="47" xr6:coauthVersionMax="47" xr10:uidLastSave="{00000000-0000-0000-0000-000000000000}"/>
  <bookViews>
    <workbookView xWindow="-108" yWindow="-108" windowWidth="23256" windowHeight="12456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1" l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0" i="1"/>
  <c r="S20" i="1"/>
  <c r="R20" i="1"/>
  <c r="Q20" i="1"/>
  <c r="T19" i="1"/>
  <c r="S19" i="1"/>
  <c r="R19" i="1"/>
  <c r="Q19" i="1"/>
  <c r="T18" i="1"/>
  <c r="S18" i="1"/>
  <c r="R18" i="1"/>
  <c r="Q18" i="1"/>
  <c r="T17" i="1"/>
  <c r="S17" i="1"/>
  <c r="R17" i="1"/>
  <c r="Q17" i="1"/>
  <c r="T16" i="1"/>
  <c r="S16" i="1"/>
  <c r="R16" i="1"/>
  <c r="Q16" i="1"/>
  <c r="T15" i="1"/>
  <c r="S15" i="1"/>
  <c r="R15" i="1"/>
  <c r="Q15" i="1"/>
  <c r="T14" i="1"/>
  <c r="S14" i="1"/>
  <c r="R14" i="1"/>
  <c r="Q14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</calcChain>
</file>

<file path=xl/sharedStrings.xml><?xml version="1.0" encoding="utf-8"?>
<sst xmlns="http://schemas.openxmlformats.org/spreadsheetml/2006/main" count="81" uniqueCount="16">
  <si>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</si>
  <si>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</si>
  <si>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</si>
  <si>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</si>
  <si>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</si>
  <si>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</si>
  <si>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</si>
  <si>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</si>
  <si>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</si>
  <si>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</si>
  <si>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</si>
  <si>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03/16/2026</t>
  </si>
  <si>
    <t>Estimate as of 03/16/2026</t>
  </si>
  <si>
    <t>Conversion</t>
  </si>
  <si>
    <t>1 CFS = 1.9835 Acre-Feet per day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</si>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</sst>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2:T38"/>
  <sheetViews>
    <sheetView tabSelected="1" topLeftCell="E14" workbookViewId="0">
      <selection activeCell="M22" sqref="M22"/>
    </sheetView>
  </sheetViews>
  <sheetFormatPr defaultRowHeight="14.4" x14ac:dyDescent="0.3"/>
  <cols>
    <col min="1" max="1" width="12.6640625" customWidth="1"/>
    <col min="2" max="2" width="12.6640625" style="1" customWidth="1"/>
    <col min="3" max="30" width="12.6640625" customWidth="1"/>
  </cols>
  <sheetData>
    <row r="2" spans="2:20" x14ac:dyDescent="0.3">
      <c r="G2" s="17" t="s">
        <v>13</v>
      </c>
      <c r="H2" s="17"/>
    </row>
    <row r="3" spans="2:20" ht="39.6" x14ac:dyDescent="0.3">
      <c r="B3" t="s">
        <v>9</v>
      </c>
      <c r="G3" s="18" t="s">
        <v>14</v>
      </c>
      <c r="H3" s="19">
        <v>1.9835</v>
      </c>
    </row>
    <row r="4" spans="2:20" x14ac:dyDescent="0.3">
      <c r="B4"/>
    </row>
    <row r="5" spans="2:20" x14ac:dyDescent="0.3">
      <c r="B5" t="s">
        <v>11</v>
      </c>
    </row>
    <row r="7" spans="2:20" x14ac:dyDescent="0.3">
      <c r="B7" s="12" t="s">
        <v>12</v>
      </c>
    </row>
    <row r="9" spans="2:20" x14ac:dyDescent="0.3">
      <c r="B9" s="13" t="s">
        <v>5</v>
      </c>
      <c r="C9" s="14"/>
      <c r="D9" s="14"/>
      <c r="E9" s="14"/>
      <c r="F9" s="15"/>
      <c r="G9" s="13" t="s">
        <v>5</v>
      </c>
      <c r="H9" s="14"/>
      <c r="I9" s="14"/>
      <c r="J9" s="15"/>
      <c r="L9" s="13" t="s">
        <v>7</v>
      </c>
      <c r="M9" s="14"/>
      <c r="N9" s="14"/>
      <c r="O9" s="14"/>
      <c r="P9" s="15"/>
      <c r="Q9" s="13" t="s">
        <v>7</v>
      </c>
      <c r="R9" s="14"/>
      <c r="S9" s="14"/>
      <c r="T9" s="15"/>
    </row>
    <row r="10" spans="2:20" x14ac:dyDescent="0.3">
      <c r="B10" s="2"/>
      <c r="F10" s="3"/>
      <c r="G10" s="20"/>
      <c r="J10" s="3"/>
      <c r="L10" s="2"/>
      <c r="P10" s="3"/>
      <c r="Q10" s="20"/>
      <c r="T10" s="3"/>
    </row>
    <row r="11" spans="2:20" x14ac:dyDescent="0.3">
      <c r="B11" s="2"/>
      <c r="C11" s="16" t="s">
        <v>0</v>
      </c>
      <c r="D11" s="16"/>
      <c r="F11" s="3"/>
      <c r="G11" s="20"/>
      <c r="J11" s="3"/>
      <c r="L11" s="2"/>
      <c r="M11" s="16" t="s">
        <v>0</v>
      </c>
      <c r="N11" s="16"/>
      <c r="P11" s="3"/>
      <c r="Q11" s="20"/>
      <c r="T11" s="3"/>
    </row>
    <row r="12" spans="2:20" x14ac:dyDescent="0.3">
      <c r="B12" s="2"/>
      <c r="C12" s="1" t="s">
        <v>1</v>
      </c>
      <c r="D12" s="1" t="s">
        <v>2</v>
      </c>
      <c r="E12" s="1" t="s">
        <v>3</v>
      </c>
      <c r="F12" s="4" t="s">
        <v>4</v>
      </c>
      <c r="G12" s="2" t="s">
        <v>1</v>
      </c>
      <c r="H12" s="1" t="s">
        <v>2</v>
      </c>
      <c r="I12" s="1" t="s">
        <v>3</v>
      </c>
      <c r="J12" s="4" t="s">
        <v>4</v>
      </c>
      <c r="L12" s="2"/>
      <c r="M12" s="1" t="s">
        <v>1</v>
      </c>
      <c r="N12" s="1" t="s">
        <v>2</v>
      </c>
      <c r="O12" s="1" t="s">
        <v>3</v>
      </c>
      <c r="P12" s="4" t="s">
        <v>4</v>
      </c>
      <c r="Q12" s="2" t="s">
        <v>1</v>
      </c>
      <c r="R12" s="1" t="s">
        <v>2</v>
      </c>
      <c r="S12" s="1" t="s">
        <v>3</v>
      </c>
      <c r="T12" s="4" t="s">
        <v>4</v>
      </c>
    </row>
    <row r="13" spans="2:20" x14ac:dyDescent="0.3">
      <c r="B13" s="2"/>
      <c r="C13" s="1" t="s">
        <v>6</v>
      </c>
      <c r="D13" s="1" t="s">
        <v>6</v>
      </c>
      <c r="E13" s="1" t="s">
        <v>6</v>
      </c>
      <c r="F13" s="4" t="s">
        <v>6</v>
      </c>
      <c r="G13" s="2" t="s">
        <v>15</v>
      </c>
      <c r="H13" s="1" t="s">
        <v>15</v>
      </c>
      <c r="I13" s="1" t="s">
        <v>6</v>
      </c>
      <c r="J13" s="4" t="s">
        <v>15</v>
      </c>
      <c r="L13" s="2"/>
      <c r="M13" s="1" t="s">
        <v>6</v>
      </c>
      <c r="N13" s="1" t="s">
        <v>6</v>
      </c>
      <c r="O13" s="1" t="s">
        <v>6</v>
      </c>
      <c r="P13" s="4" t="s">
        <v>6</v>
      </c>
      <c r="Q13" s="2" t="s">
        <v>15</v>
      </c>
      <c r="R13" s="1" t="s">
        <v>15</v>
      </c>
      <c r="S13" s="1" t="s">
        <v>6</v>
      </c>
      <c r="T13" s="4" t="s">
        <v>15</v>
      </c>
    </row>
    <row r="14" spans="2:20" x14ac:dyDescent="0.3">
      <c r="B14" s="5">
        <v>46097</v>
      </c>
      <c r="C14" s="6">
        <v>4200</v>
      </c>
      <c r="D14" s="6">
        <v>300</v>
      </c>
      <c r="E14" s="6">
        <v>-2088.4412856062518</v>
      </c>
      <c r="F14" s="7">
        <v>5198.6640000000007</v>
      </c>
      <c r="G14" s="21">
        <f>C14*$H$3</f>
        <v>8330.7000000000007</v>
      </c>
      <c r="H14" s="6">
        <f t="shared" ref="H14:J20" si="0">D14*$H$3</f>
        <v>595.05000000000007</v>
      </c>
      <c r="I14" s="6">
        <f>E14</f>
        <v>-2088.4412856062518</v>
      </c>
      <c r="J14" s="7">
        <f t="shared" si="0"/>
        <v>10311.550044000001</v>
      </c>
      <c r="L14" s="5">
        <v>46097</v>
      </c>
      <c r="M14" s="1">
        <v>4200</v>
      </c>
      <c r="N14" s="1">
        <v>1800</v>
      </c>
      <c r="O14" s="6">
        <v>-3454.9412856062518</v>
      </c>
      <c r="P14" s="7">
        <v>3698.6640000000007</v>
      </c>
      <c r="Q14" s="21">
        <f>M14*$H$3</f>
        <v>8330.7000000000007</v>
      </c>
      <c r="R14" s="6">
        <f t="shared" ref="R14:R20" si="1">N14*$H$3</f>
        <v>3570.3</v>
      </c>
      <c r="S14" s="6">
        <f>O14</f>
        <v>-3454.9412856062518</v>
      </c>
      <c r="T14" s="7">
        <f t="shared" ref="T14:T20" si="2">P14*$H$3</f>
        <v>7336.3000440000014</v>
      </c>
    </row>
    <row r="15" spans="2:20" x14ac:dyDescent="0.3">
      <c r="B15" s="5">
        <v>46098</v>
      </c>
      <c r="C15" s="6">
        <v>4200</v>
      </c>
      <c r="D15" s="6">
        <v>300</v>
      </c>
      <c r="E15" s="6">
        <v>-2060.2647856062517</v>
      </c>
      <c r="F15" s="7">
        <v>4981.6370000000006</v>
      </c>
      <c r="G15" s="21">
        <f t="shared" ref="G15:G20" si="3">C15*$H$3</f>
        <v>8330.7000000000007</v>
      </c>
      <c r="H15" s="6">
        <f t="shared" si="0"/>
        <v>595.05000000000007</v>
      </c>
      <c r="I15" s="6">
        <f t="shared" ref="I15:I20" si="4">E15</f>
        <v>-2060.2647856062517</v>
      </c>
      <c r="J15" s="7">
        <f t="shared" si="0"/>
        <v>9881.0769895000012</v>
      </c>
      <c r="L15" s="5">
        <v>46098</v>
      </c>
      <c r="M15" s="1">
        <v>4200</v>
      </c>
      <c r="N15" s="1">
        <v>1800</v>
      </c>
      <c r="O15" s="6">
        <v>-3426.7647856062526</v>
      </c>
      <c r="P15" s="7">
        <v>3481.6370000000006</v>
      </c>
      <c r="Q15" s="21">
        <f t="shared" ref="Q15:Q20" si="5">M15*$H$3</f>
        <v>8330.7000000000007</v>
      </c>
      <c r="R15" s="6">
        <f t="shared" si="1"/>
        <v>3570.3</v>
      </c>
      <c r="S15" s="6">
        <f t="shared" ref="S15:S20" si="6">O15</f>
        <v>-3426.7647856062526</v>
      </c>
      <c r="T15" s="7">
        <f t="shared" si="2"/>
        <v>6905.8269895000012</v>
      </c>
    </row>
    <row r="16" spans="2:20" x14ac:dyDescent="0.3">
      <c r="B16" s="5">
        <v>46099</v>
      </c>
      <c r="C16" s="6">
        <v>2700</v>
      </c>
      <c r="D16" s="6">
        <v>1700</v>
      </c>
      <c r="E16" s="6">
        <v>-1974.3457856062523</v>
      </c>
      <c r="F16" s="7">
        <v>4952.4850000000006</v>
      </c>
      <c r="G16" s="21">
        <f t="shared" si="3"/>
        <v>5355.45</v>
      </c>
      <c r="H16" s="6">
        <f t="shared" si="0"/>
        <v>3371.9500000000003</v>
      </c>
      <c r="I16" s="6">
        <f t="shared" si="4"/>
        <v>-1974.3457856062523</v>
      </c>
      <c r="J16" s="7">
        <f t="shared" si="0"/>
        <v>9823.2539975000018</v>
      </c>
      <c r="L16" s="5">
        <v>46099</v>
      </c>
      <c r="M16" s="1">
        <v>3500</v>
      </c>
      <c r="N16" s="1">
        <v>2500</v>
      </c>
      <c r="O16" s="6">
        <v>-3431.9457856062527</v>
      </c>
      <c r="P16" s="7">
        <v>3352.4850000000006</v>
      </c>
      <c r="Q16" s="21">
        <f t="shared" si="5"/>
        <v>6942.25</v>
      </c>
      <c r="R16" s="6">
        <f t="shared" si="1"/>
        <v>4958.75</v>
      </c>
      <c r="S16" s="6">
        <f t="shared" si="6"/>
        <v>-3431.9457856062527</v>
      </c>
      <c r="T16" s="7">
        <f t="shared" si="2"/>
        <v>6649.6539975000014</v>
      </c>
    </row>
    <row r="17" spans="2:20" x14ac:dyDescent="0.3">
      <c r="B17" s="5">
        <v>46100</v>
      </c>
      <c r="C17" s="6">
        <v>2700</v>
      </c>
      <c r="D17" s="6">
        <v>1700</v>
      </c>
      <c r="E17" s="6">
        <v>-1989.5012856062522</v>
      </c>
      <c r="F17" s="7">
        <v>4859.6310000000012</v>
      </c>
      <c r="G17" s="21">
        <f t="shared" si="3"/>
        <v>5355.45</v>
      </c>
      <c r="H17" s="6">
        <f t="shared" si="0"/>
        <v>3371.9500000000003</v>
      </c>
      <c r="I17" s="6">
        <f t="shared" si="4"/>
        <v>-1989.5012856062522</v>
      </c>
      <c r="J17" s="7">
        <f t="shared" si="0"/>
        <v>9639.0780885000022</v>
      </c>
      <c r="L17" s="5">
        <v>46100</v>
      </c>
      <c r="M17" s="1">
        <v>3500</v>
      </c>
      <c r="N17" s="1">
        <v>2500</v>
      </c>
      <c r="O17" s="6">
        <v>-3447.1012856062525</v>
      </c>
      <c r="P17" s="7">
        <v>3259.6310000000012</v>
      </c>
      <c r="Q17" s="21">
        <f t="shared" si="5"/>
        <v>6942.25</v>
      </c>
      <c r="R17" s="6">
        <f t="shared" si="1"/>
        <v>4958.75</v>
      </c>
      <c r="S17" s="6">
        <f t="shared" si="6"/>
        <v>-3447.1012856062525</v>
      </c>
      <c r="T17" s="7">
        <f t="shared" si="2"/>
        <v>6465.4780885000027</v>
      </c>
    </row>
    <row r="18" spans="2:20" x14ac:dyDescent="0.3">
      <c r="B18" s="5">
        <v>46101</v>
      </c>
      <c r="C18" s="6">
        <v>2700</v>
      </c>
      <c r="D18" s="6">
        <v>1600</v>
      </c>
      <c r="E18" s="6">
        <v>-1921.9512856062515</v>
      </c>
      <c r="F18" s="7">
        <v>4838.1620000000012</v>
      </c>
      <c r="G18" s="21">
        <f t="shared" si="3"/>
        <v>5355.45</v>
      </c>
      <c r="H18" s="6">
        <f t="shared" si="0"/>
        <v>3173.6</v>
      </c>
      <c r="I18" s="6">
        <f t="shared" si="4"/>
        <v>-1921.9512856062515</v>
      </c>
      <c r="J18" s="7">
        <f t="shared" si="0"/>
        <v>9596.4943270000022</v>
      </c>
      <c r="L18" s="5">
        <v>46101</v>
      </c>
      <c r="M18" s="1">
        <v>3500</v>
      </c>
      <c r="N18" s="1">
        <v>2500</v>
      </c>
      <c r="O18" s="6">
        <v>-3470.6512856062523</v>
      </c>
      <c r="P18" s="7">
        <v>3138.1620000000003</v>
      </c>
      <c r="Q18" s="21">
        <f t="shared" si="5"/>
        <v>6942.25</v>
      </c>
      <c r="R18" s="6">
        <f t="shared" si="1"/>
        <v>4958.75</v>
      </c>
      <c r="S18" s="6">
        <f t="shared" si="6"/>
        <v>-3470.6512856062523</v>
      </c>
      <c r="T18" s="7">
        <f t="shared" si="2"/>
        <v>6224.5443270000005</v>
      </c>
    </row>
    <row r="19" spans="2:20" x14ac:dyDescent="0.3">
      <c r="B19" s="5">
        <v>46102</v>
      </c>
      <c r="C19" s="6">
        <v>2700</v>
      </c>
      <c r="D19" s="6">
        <v>1600</v>
      </c>
      <c r="E19" s="6">
        <v>-1956.8887856062524</v>
      </c>
      <c r="F19" s="7">
        <v>4780.4480000000012</v>
      </c>
      <c r="G19" s="21">
        <f t="shared" si="3"/>
        <v>5355.45</v>
      </c>
      <c r="H19" s="6">
        <f t="shared" si="0"/>
        <v>3173.6</v>
      </c>
      <c r="I19" s="6">
        <f t="shared" si="4"/>
        <v>-1956.8887856062524</v>
      </c>
      <c r="J19" s="7">
        <f t="shared" si="0"/>
        <v>9482.0186080000021</v>
      </c>
      <c r="L19" s="5">
        <v>46102</v>
      </c>
      <c r="M19" s="1">
        <v>3500</v>
      </c>
      <c r="N19" s="1">
        <v>2400</v>
      </c>
      <c r="O19" s="6">
        <v>-3414.4887856062519</v>
      </c>
      <c r="P19" s="7">
        <v>3180.4479999999994</v>
      </c>
      <c r="Q19" s="21">
        <f t="shared" si="5"/>
        <v>6942.25</v>
      </c>
      <c r="R19" s="6">
        <f t="shared" si="1"/>
        <v>4760.4000000000005</v>
      </c>
      <c r="S19" s="6">
        <f t="shared" si="6"/>
        <v>-3414.4887856062519</v>
      </c>
      <c r="T19" s="7">
        <f t="shared" si="2"/>
        <v>6308.418607999999</v>
      </c>
    </row>
    <row r="20" spans="2:20" x14ac:dyDescent="0.3">
      <c r="B20" s="8">
        <v>46103</v>
      </c>
      <c r="C20" s="10">
        <v>2700</v>
      </c>
      <c r="D20" s="10">
        <v>1600</v>
      </c>
      <c r="E20" s="10">
        <v>-1991.8262856062524</v>
      </c>
      <c r="F20" s="11">
        <v>4692.7610000000013</v>
      </c>
      <c r="G20" s="22">
        <f t="shared" si="3"/>
        <v>5355.45</v>
      </c>
      <c r="H20" s="10">
        <f t="shared" si="0"/>
        <v>3173.6</v>
      </c>
      <c r="I20" s="10">
        <f t="shared" si="4"/>
        <v>-1991.8262856062524</v>
      </c>
      <c r="J20" s="11">
        <f t="shared" si="0"/>
        <v>9308.0914435000032</v>
      </c>
      <c r="L20" s="8">
        <v>46103</v>
      </c>
      <c r="M20" s="9">
        <v>3500</v>
      </c>
      <c r="N20" s="9">
        <v>2400</v>
      </c>
      <c r="O20" s="10">
        <v>-3449.4262856062528</v>
      </c>
      <c r="P20" s="11">
        <v>3092.7609999999995</v>
      </c>
      <c r="Q20" s="22">
        <f t="shared" si="5"/>
        <v>6942.25</v>
      </c>
      <c r="R20" s="10">
        <f t="shared" si="1"/>
        <v>4760.4000000000005</v>
      </c>
      <c r="S20" s="10">
        <f t="shared" si="6"/>
        <v>-3449.4262856062528</v>
      </c>
      <c r="T20" s="11">
        <f t="shared" si="2"/>
        <v>6134.4914434999991</v>
      </c>
    </row>
    <row r="23" spans="2:20" x14ac:dyDescent="0.3">
      <c r="B23" s="13" t="s">
        <v>8</v>
      </c>
      <c r="C23" s="14"/>
      <c r="D23" s="14"/>
      <c r="E23" s="14"/>
      <c r="F23" s="15"/>
      <c r="G23" s="13" t="s">
        <v>8</v>
      </c>
      <c r="H23" s="14"/>
      <c r="I23" s="14"/>
      <c r="J23" s="15"/>
      <c r="L23" s="13" t="s">
        <v>10</v>
      </c>
      <c r="M23" s="14"/>
      <c r="N23" s="14"/>
      <c r="O23" s="14"/>
      <c r="P23" s="15"/>
      <c r="Q23" s="13" t="s">
        <v>10</v>
      </c>
      <c r="R23" s="14"/>
      <c r="S23" s="14"/>
      <c r="T23" s="15"/>
    </row>
    <row r="24" spans="2:20" x14ac:dyDescent="0.3">
      <c r="B24" s="2"/>
      <c r="F24" s="3"/>
      <c r="G24" s="20"/>
      <c r="J24" s="3"/>
      <c r="L24" s="2"/>
      <c r="P24" s="3"/>
      <c r="Q24" s="20"/>
      <c r="T24" s="3"/>
    </row>
    <row r="25" spans="2:20" x14ac:dyDescent="0.3">
      <c r="B25" s="2"/>
      <c r="C25" s="16" t="s">
        <v>0</v>
      </c>
      <c r="D25" s="16"/>
      <c r="F25" s="3"/>
      <c r="G25" s="20"/>
      <c r="J25" s="3"/>
      <c r="L25" s="2"/>
      <c r="M25" s="16" t="s">
        <v>0</v>
      </c>
      <c r="N25" s="16"/>
      <c r="P25" s="3"/>
      <c r="Q25" s="20"/>
      <c r="T25" s="3"/>
    </row>
    <row r="26" spans="2:20" x14ac:dyDescent="0.3">
      <c r="B26" s="2"/>
      <c r="C26" s="1" t="s">
        <v>1</v>
      </c>
      <c r="D26" s="1" t="s">
        <v>2</v>
      </c>
      <c r="E26" s="1" t="s">
        <v>3</v>
      </c>
      <c r="F26" s="4" t="s">
        <v>4</v>
      </c>
      <c r="G26" s="2" t="s">
        <v>1</v>
      </c>
      <c r="H26" s="1" t="s">
        <v>2</v>
      </c>
      <c r="I26" s="1" t="s">
        <v>3</v>
      </c>
      <c r="J26" s="4" t="s">
        <v>4</v>
      </c>
      <c r="L26" s="2"/>
      <c r="M26" s="1" t="s">
        <v>1</v>
      </c>
      <c r="N26" s="1" t="s">
        <v>2</v>
      </c>
      <c r="O26" s="1" t="s">
        <v>3</v>
      </c>
      <c r="P26" s="4" t="s">
        <v>4</v>
      </c>
      <c r="Q26" s="2" t="s">
        <v>1</v>
      </c>
      <c r="R26" s="1" t="s">
        <v>2</v>
      </c>
      <c r="S26" s="1" t="s">
        <v>3</v>
      </c>
      <c r="T26" s="4" t="s">
        <v>4</v>
      </c>
    </row>
    <row r="27" spans="2:20" x14ac:dyDescent="0.3">
      <c r="B27" s="2"/>
      <c r="C27" s="1" t="s">
        <v>6</v>
      </c>
      <c r="D27" s="1" t="s">
        <v>6</v>
      </c>
      <c r="E27" s="1" t="s">
        <v>6</v>
      </c>
      <c r="F27" s="4" t="s">
        <v>6</v>
      </c>
      <c r="G27" s="2" t="s">
        <v>15</v>
      </c>
      <c r="H27" s="1" t="s">
        <v>15</v>
      </c>
      <c r="I27" s="1" t="s">
        <v>6</v>
      </c>
      <c r="J27" s="4" t="s">
        <v>15</v>
      </c>
      <c r="L27" s="2"/>
      <c r="M27" s="1" t="s">
        <v>6</v>
      </c>
      <c r="N27" s="1" t="s">
        <v>6</v>
      </c>
      <c r="O27" s="1" t="s">
        <v>6</v>
      </c>
      <c r="P27" s="4" t="s">
        <v>6</v>
      </c>
      <c r="Q27" s="2" t="s">
        <v>15</v>
      </c>
      <c r="R27" s="1" t="s">
        <v>15</v>
      </c>
      <c r="S27" s="1" t="s">
        <v>6</v>
      </c>
      <c r="T27" s="4" t="s">
        <v>15</v>
      </c>
    </row>
    <row r="28" spans="2:20" x14ac:dyDescent="0.3">
      <c r="B28" s="5">
        <v>46097</v>
      </c>
      <c r="C28" s="1">
        <v>4200</v>
      </c>
      <c r="D28" s="1">
        <v>3400</v>
      </c>
      <c r="E28" s="6">
        <v>-4912.5412856062521</v>
      </c>
      <c r="F28" s="7">
        <v>2098.6639999999998</v>
      </c>
      <c r="G28" s="21">
        <f>C28*$H$3</f>
        <v>8330.7000000000007</v>
      </c>
      <c r="H28" s="6">
        <f t="shared" ref="H28:H34" si="7">D28*$H$3</f>
        <v>6743.9000000000005</v>
      </c>
      <c r="I28" s="6">
        <f>E28</f>
        <v>-4912.5412856062521</v>
      </c>
      <c r="J28" s="7">
        <f t="shared" ref="J28:J34" si="8">F28*$H$3</f>
        <v>4162.7000439999993</v>
      </c>
      <c r="L28" s="5">
        <v>46097</v>
      </c>
      <c r="M28" s="1">
        <v>4200</v>
      </c>
      <c r="N28" s="1">
        <v>5100</v>
      </c>
      <c r="O28" s="6">
        <v>-6461.2412856062519</v>
      </c>
      <c r="P28" s="7">
        <v>398.66399999999885</v>
      </c>
      <c r="Q28" s="21">
        <f>M28*$H$3</f>
        <v>8330.7000000000007</v>
      </c>
      <c r="R28" s="6">
        <f t="shared" ref="R28:R34" si="9">N28*$H$3</f>
        <v>10115.85</v>
      </c>
      <c r="S28" s="6">
        <f>O28</f>
        <v>-6461.2412856062519</v>
      </c>
      <c r="T28" s="7">
        <f t="shared" ref="T28:T34" si="10">P28*$H$3</f>
        <v>790.75004399999773</v>
      </c>
    </row>
    <row r="29" spans="2:20" x14ac:dyDescent="0.3">
      <c r="B29" s="5">
        <v>46098</v>
      </c>
      <c r="C29" s="1">
        <v>4200</v>
      </c>
      <c r="D29" s="1">
        <v>3500</v>
      </c>
      <c r="E29" s="6">
        <v>-4975.4647856062529</v>
      </c>
      <c r="F29" s="7">
        <v>1781.6370000000006</v>
      </c>
      <c r="G29" s="21">
        <f t="shared" ref="G29:G34" si="11">C29*$H$3</f>
        <v>8330.7000000000007</v>
      </c>
      <c r="H29" s="6">
        <f t="shared" si="7"/>
        <v>6942.25</v>
      </c>
      <c r="I29" s="6">
        <f t="shared" ref="I29:I34" si="12">E29</f>
        <v>-4975.4647856062529</v>
      </c>
      <c r="J29" s="7">
        <f t="shared" si="8"/>
        <v>3533.8769895000014</v>
      </c>
      <c r="L29" s="5">
        <v>46098</v>
      </c>
      <c r="M29" s="1">
        <v>4200</v>
      </c>
      <c r="N29" s="1">
        <v>5100</v>
      </c>
      <c r="O29" s="6">
        <v>-6433.0647856062533</v>
      </c>
      <c r="P29" s="7">
        <v>181.63699999999881</v>
      </c>
      <c r="Q29" s="21">
        <f t="shared" ref="Q29:Q34" si="13">M29*$H$3</f>
        <v>8330.7000000000007</v>
      </c>
      <c r="R29" s="6">
        <f t="shared" si="9"/>
        <v>10115.85</v>
      </c>
      <c r="S29" s="6">
        <f t="shared" ref="S29:S34" si="14">O29</f>
        <v>-6433.0647856062533</v>
      </c>
      <c r="T29" s="7">
        <f t="shared" si="10"/>
        <v>360.27698949999763</v>
      </c>
    </row>
    <row r="30" spans="2:20" x14ac:dyDescent="0.3">
      <c r="B30" s="5">
        <v>46099</v>
      </c>
      <c r="C30" s="1">
        <v>4200</v>
      </c>
      <c r="D30" s="1">
        <v>3500</v>
      </c>
      <c r="E30" s="6">
        <v>-4980.6457856062525</v>
      </c>
      <c r="F30" s="7">
        <v>1652.4850000000006</v>
      </c>
      <c r="G30" s="21">
        <f t="shared" si="11"/>
        <v>8330.7000000000007</v>
      </c>
      <c r="H30" s="6">
        <f t="shared" si="7"/>
        <v>6942.25</v>
      </c>
      <c r="I30" s="6">
        <f t="shared" si="12"/>
        <v>-4980.6457856062525</v>
      </c>
      <c r="J30" s="7">
        <f t="shared" si="8"/>
        <v>3277.7039975000012</v>
      </c>
      <c r="L30" s="5">
        <v>46099</v>
      </c>
      <c r="M30" s="1">
        <v>4200</v>
      </c>
      <c r="N30" s="1">
        <v>5100</v>
      </c>
      <c r="O30" s="6">
        <v>-6438.2457856062529</v>
      </c>
      <c r="P30" s="7">
        <v>52.484999999998763</v>
      </c>
      <c r="Q30" s="21">
        <f t="shared" si="13"/>
        <v>8330.7000000000007</v>
      </c>
      <c r="R30" s="6">
        <f t="shared" si="9"/>
        <v>10115.85</v>
      </c>
      <c r="S30" s="6">
        <f t="shared" si="14"/>
        <v>-6438.2457856062529</v>
      </c>
      <c r="T30" s="7">
        <f t="shared" si="10"/>
        <v>104.10399749999755</v>
      </c>
    </row>
    <row r="31" spans="2:20" x14ac:dyDescent="0.3">
      <c r="B31" s="5">
        <v>46100</v>
      </c>
      <c r="C31" s="1">
        <v>4200</v>
      </c>
      <c r="D31" s="1">
        <v>3400</v>
      </c>
      <c r="E31" s="6">
        <v>-4904.701285606252</v>
      </c>
      <c r="F31" s="7">
        <v>1659.6310000000003</v>
      </c>
      <c r="G31" s="21">
        <f t="shared" si="11"/>
        <v>8330.7000000000007</v>
      </c>
      <c r="H31" s="6">
        <f t="shared" si="7"/>
        <v>6743.9000000000005</v>
      </c>
      <c r="I31" s="6">
        <f t="shared" si="12"/>
        <v>-4904.701285606252</v>
      </c>
      <c r="J31" s="7">
        <f t="shared" si="8"/>
        <v>3291.8780885000006</v>
      </c>
      <c r="L31" s="5">
        <v>46100</v>
      </c>
      <c r="M31" s="1">
        <v>4200</v>
      </c>
      <c r="N31" s="1">
        <v>5100</v>
      </c>
      <c r="O31" s="6">
        <v>-6453.4012856062518</v>
      </c>
      <c r="P31" s="7">
        <v>-40.369000000000597</v>
      </c>
      <c r="Q31" s="21">
        <f t="shared" si="13"/>
        <v>8330.7000000000007</v>
      </c>
      <c r="R31" s="6">
        <f t="shared" si="9"/>
        <v>10115.85</v>
      </c>
      <c r="S31" s="6">
        <f t="shared" si="14"/>
        <v>-6453.4012856062518</v>
      </c>
      <c r="T31" s="7">
        <f t="shared" si="10"/>
        <v>-80.071911500001178</v>
      </c>
    </row>
    <row r="32" spans="2:20" x14ac:dyDescent="0.3">
      <c r="B32" s="5">
        <v>46101</v>
      </c>
      <c r="C32" s="1">
        <v>4200</v>
      </c>
      <c r="D32" s="1">
        <v>3400</v>
      </c>
      <c r="E32" s="6">
        <v>-4928.2512856062513</v>
      </c>
      <c r="F32" s="7">
        <v>1538.1619999999994</v>
      </c>
      <c r="G32" s="21">
        <f t="shared" si="11"/>
        <v>8330.7000000000007</v>
      </c>
      <c r="H32" s="6">
        <f t="shared" si="7"/>
        <v>6743.9000000000005</v>
      </c>
      <c r="I32" s="6">
        <f t="shared" si="12"/>
        <v>-4928.2512856062513</v>
      </c>
      <c r="J32" s="7">
        <f t="shared" si="8"/>
        <v>3050.9443269999988</v>
      </c>
      <c r="L32" s="5">
        <v>46101</v>
      </c>
      <c r="M32" s="1">
        <v>4200</v>
      </c>
      <c r="N32" s="1">
        <v>5100</v>
      </c>
      <c r="O32" s="6">
        <v>-6476.951285606252</v>
      </c>
      <c r="P32" s="7">
        <v>-161.83800000000156</v>
      </c>
      <c r="Q32" s="21">
        <f t="shared" si="13"/>
        <v>8330.7000000000007</v>
      </c>
      <c r="R32" s="6">
        <f t="shared" si="9"/>
        <v>10115.85</v>
      </c>
      <c r="S32" s="6">
        <f t="shared" si="14"/>
        <v>-6476.951285606252</v>
      </c>
      <c r="T32" s="7">
        <f t="shared" si="10"/>
        <v>-321.00567300000307</v>
      </c>
    </row>
    <row r="33" spans="2:20" x14ac:dyDescent="0.3">
      <c r="B33" s="5">
        <v>46102</v>
      </c>
      <c r="C33" s="1">
        <v>4200</v>
      </c>
      <c r="D33" s="1">
        <v>3400</v>
      </c>
      <c r="E33" s="6">
        <v>-4963.1887856062531</v>
      </c>
      <c r="F33" s="7">
        <v>1480.4479999999994</v>
      </c>
      <c r="G33" s="21">
        <f t="shared" si="11"/>
        <v>8330.7000000000007</v>
      </c>
      <c r="H33" s="6">
        <f t="shared" si="7"/>
        <v>6743.9000000000005</v>
      </c>
      <c r="I33" s="6">
        <f t="shared" si="12"/>
        <v>-4963.1887856062531</v>
      </c>
      <c r="J33" s="7">
        <f t="shared" si="8"/>
        <v>2936.4686079999988</v>
      </c>
      <c r="L33" s="5">
        <v>46102</v>
      </c>
      <c r="M33" s="1">
        <v>4200</v>
      </c>
      <c r="N33" s="1">
        <v>5000</v>
      </c>
      <c r="O33" s="6">
        <v>-6420.7887856062516</v>
      </c>
      <c r="P33" s="7">
        <v>-119.55199999999968</v>
      </c>
      <c r="Q33" s="21">
        <f t="shared" si="13"/>
        <v>8330.7000000000007</v>
      </c>
      <c r="R33" s="6">
        <f t="shared" si="9"/>
        <v>9917.5</v>
      </c>
      <c r="S33" s="6">
        <f t="shared" si="14"/>
        <v>-6420.7887856062516</v>
      </c>
      <c r="T33" s="7">
        <f t="shared" si="10"/>
        <v>-237.13139199999938</v>
      </c>
    </row>
    <row r="34" spans="2:20" x14ac:dyDescent="0.3">
      <c r="B34" s="8">
        <v>46103</v>
      </c>
      <c r="C34" s="9">
        <v>4200</v>
      </c>
      <c r="D34" s="9">
        <v>3300</v>
      </c>
      <c r="E34" s="10">
        <v>-4907.0262856062527</v>
      </c>
      <c r="F34" s="11">
        <v>1492.7610000000004</v>
      </c>
      <c r="G34" s="22">
        <f t="shared" si="11"/>
        <v>8330.7000000000007</v>
      </c>
      <c r="H34" s="10">
        <f t="shared" si="7"/>
        <v>6545.55</v>
      </c>
      <c r="I34" s="10">
        <f t="shared" si="12"/>
        <v>-4907.0262856062527</v>
      </c>
      <c r="J34" s="11">
        <f t="shared" si="8"/>
        <v>2960.8914435000011</v>
      </c>
      <c r="L34" s="8">
        <v>46103</v>
      </c>
      <c r="M34" s="9">
        <v>4200</v>
      </c>
      <c r="N34" s="9">
        <v>5000</v>
      </c>
      <c r="O34" s="10">
        <v>-6455.7262856062534</v>
      </c>
      <c r="P34" s="11">
        <v>-207.23899999999958</v>
      </c>
      <c r="Q34" s="22">
        <f t="shared" si="13"/>
        <v>8330.7000000000007</v>
      </c>
      <c r="R34" s="10">
        <f t="shared" si="9"/>
        <v>9917.5</v>
      </c>
      <c r="S34" s="10">
        <f t="shared" si="14"/>
        <v>-6455.7262856062534</v>
      </c>
      <c r="T34" s="11">
        <f t="shared" si="10"/>
        <v>-411.05855649999916</v>
      </c>
    </row>
    <row r="37" spans="2:20" x14ac:dyDescent="0.3">
      <c r="B37" s="12"/>
    </row>
    <row r="38" spans="2:20" x14ac:dyDescent="0.3">
      <c r="B38" s="12"/>
    </row>
  </sheetData>
  <mergeCells count="12">
    <mergeCell ref="Q9:T9"/>
    <mergeCell ref="Q23:T23"/>
    <mergeCell ref="B9:F9"/>
    <mergeCell ref="L9:P9"/>
    <mergeCell ref="M11:N11"/>
    <mergeCell ref="B23:F23"/>
    <mergeCell ref="C25:D25"/>
    <mergeCell ref="C11:D11"/>
    <mergeCell ref="L23:P23"/>
    <mergeCell ref="M25:N25"/>
    <mergeCell ref="G9:J9"/>
    <mergeCell ref="G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Hamilton, Sarah</cp:lastModifiedBy>
  <dcterms:created xsi:type="dcterms:W3CDTF">2025-12-19T20:38:19Z</dcterms:created>
  <dcterms:modified xsi:type="dcterms:W3CDTF">2026-03-17T03:12:40Z</dcterms:modified>
</cp:coreProperties>
</file>