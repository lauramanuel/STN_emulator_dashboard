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10\"/>
    </mc:Choice>
  </mc:AlternateContent>
  <xr:revisionPtr revIDLastSave="0" documentId="13_ncr:1_{44057C5A-14EE-446B-A690-3300683D624F}" xr6:coauthVersionLast="47" xr6:coauthVersionMax="47" xr10:uidLastSave="{00000000-0000-0000-0000-000000000000}"/>
  <bookViews>
    <workbookView xWindow="22932" yWindow="-108" windowWidth="30936" windowHeight="1677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<sst xmlns="http://schemas.openxmlformats.org/spreadsheetml/2006/main" count="81" uniqueCount="16">
  <si>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</si>
  <si>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</si>
  <si>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</si>
  <si>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</si>
  <si>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</si>
  <si>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</si>
  <si>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</si>
  <si>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</si>
  <si>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</si>
  <si>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</si>
  <si>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</si>
  <si>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03/09/2026</t>
  </si>
  <si>
    <t>Estimate as of 03/09/2026</t>
  </si>
  <si>
    <t>Conversion</t>
  </si>
  <si>
    <t>1 CFS = 1.9835 Acre-Feet per day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</si>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</sst>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topLeftCell="A9" zoomScale="130" zoomScaleNormal="130" workbookViewId="0">
      <selection activeCell="J38" sqref="J38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46090</v>
      </c>
      <c r="C14" s="6">
        <v>4200</v>
      </c>
      <c r="D14" s="6">
        <v>500</v>
      </c>
      <c r="E14" s="6">
        <v>-1990.9782984623143</v>
      </c>
      <c r="F14" s="7">
        <v>8113.7760000000017</v>
      </c>
      <c r="G14" s="21">
        <f>C14*$H$3</f>
        <v>8330.7000000000007</v>
      </c>
      <c r="H14" s="6">
        <f t="shared" ref="H14:J20" si="0">D14*$H$3</f>
        <v>991.75</v>
      </c>
      <c r="I14" s="6">
        <f>E14</f>
        <v>-1990.9782984623143</v>
      </c>
      <c r="J14" s="7">
        <f t="shared" si="0"/>
        <v>16093.674696000004</v>
      </c>
      <c r="L14" s="5">
        <v>46090</v>
      </c>
      <c r="M14" s="1">
        <v>4200</v>
      </c>
      <c r="N14" s="1">
        <v>2100</v>
      </c>
      <c r="O14" s="6">
        <v>-3448.5782984623147</v>
      </c>
      <c r="P14" s="7">
        <v>6513.7760000000017</v>
      </c>
      <c r="Q14" s="21">
        <f>M14*$H$3</f>
        <v>8330.7000000000007</v>
      </c>
      <c r="R14" s="6">
        <f t="shared" ref="R14:R20" si="1">N14*$H$3</f>
        <v>4165.3500000000004</v>
      </c>
      <c r="S14" s="6">
        <f>O14</f>
        <v>-3448.5782984623147</v>
      </c>
      <c r="T14" s="7">
        <f t="shared" ref="T14:T20" si="2">P14*$H$3</f>
        <v>12920.074696000003</v>
      </c>
    </row>
    <row r="15" spans="2:20" x14ac:dyDescent="0.3">
      <c r="B15" s="5">
        <v>46091</v>
      </c>
      <c r="C15" s="6">
        <v>4200</v>
      </c>
      <c r="D15" s="6">
        <v>400</v>
      </c>
      <c r="E15" s="6">
        <v>-1980.8902984623141</v>
      </c>
      <c r="F15" s="7">
        <v>7305.9000000000015</v>
      </c>
      <c r="G15" s="21">
        <f t="shared" ref="G15:G20" si="3">C15*$H$3</f>
        <v>8330.7000000000007</v>
      </c>
      <c r="H15" s="6">
        <f t="shared" si="0"/>
        <v>793.4</v>
      </c>
      <c r="I15" s="6">
        <f t="shared" ref="I15:I20" si="4">E15</f>
        <v>-1980.8902984623141</v>
      </c>
      <c r="J15" s="7">
        <f t="shared" si="0"/>
        <v>14491.252650000004</v>
      </c>
      <c r="L15" s="5">
        <v>46091</v>
      </c>
      <c r="M15" s="1">
        <v>4200</v>
      </c>
      <c r="N15" s="1">
        <v>2000</v>
      </c>
      <c r="O15" s="6">
        <v>-3438.4902984623145</v>
      </c>
      <c r="P15" s="7">
        <v>5705.9000000000015</v>
      </c>
      <c r="Q15" s="21">
        <f t="shared" ref="Q15:Q20" si="5">M15*$H$3</f>
        <v>8330.7000000000007</v>
      </c>
      <c r="R15" s="6">
        <f t="shared" si="1"/>
        <v>3967</v>
      </c>
      <c r="S15" s="6">
        <f t="shared" ref="S15:S20" si="6">O15</f>
        <v>-3438.4902984623145</v>
      </c>
      <c r="T15" s="7">
        <f t="shared" si="2"/>
        <v>11317.652650000004</v>
      </c>
    </row>
    <row r="16" spans="2:20" x14ac:dyDescent="0.3">
      <c r="B16" s="5">
        <v>46092</v>
      </c>
      <c r="C16" s="6">
        <v>2700</v>
      </c>
      <c r="D16" s="6">
        <v>1800</v>
      </c>
      <c r="E16" s="6">
        <v>-1978.4217984623142</v>
      </c>
      <c r="F16" s="7">
        <v>6925.5210000000006</v>
      </c>
      <c r="G16" s="21">
        <f t="shared" si="3"/>
        <v>5355.45</v>
      </c>
      <c r="H16" s="6">
        <f t="shared" si="0"/>
        <v>3570.3</v>
      </c>
      <c r="I16" s="6">
        <f t="shared" si="4"/>
        <v>-1978.4217984623142</v>
      </c>
      <c r="J16" s="7">
        <f t="shared" si="0"/>
        <v>13736.770903500001</v>
      </c>
      <c r="L16" s="5">
        <v>46092</v>
      </c>
      <c r="M16" s="1">
        <v>3500</v>
      </c>
      <c r="N16" s="1">
        <v>2600</v>
      </c>
      <c r="O16" s="6">
        <v>-3436.0217984623146</v>
      </c>
      <c r="P16" s="7">
        <v>5325.5210000000006</v>
      </c>
      <c r="Q16" s="21">
        <f t="shared" si="5"/>
        <v>6942.25</v>
      </c>
      <c r="R16" s="6">
        <f t="shared" si="1"/>
        <v>5157.1000000000004</v>
      </c>
      <c r="S16" s="6">
        <f t="shared" si="6"/>
        <v>-3436.0217984623146</v>
      </c>
      <c r="T16" s="7">
        <f t="shared" si="2"/>
        <v>10563.170903500002</v>
      </c>
    </row>
    <row r="17" spans="2:20" x14ac:dyDescent="0.3">
      <c r="B17" s="5">
        <v>46093</v>
      </c>
      <c r="C17" s="6">
        <v>2700</v>
      </c>
      <c r="D17" s="6">
        <v>1700</v>
      </c>
      <c r="E17" s="6">
        <v>-1944.3127984623138</v>
      </c>
      <c r="F17" s="7">
        <v>6548.9040000000005</v>
      </c>
      <c r="G17" s="21">
        <f t="shared" si="3"/>
        <v>5355.45</v>
      </c>
      <c r="H17" s="6">
        <f t="shared" si="0"/>
        <v>3371.9500000000003</v>
      </c>
      <c r="I17" s="6">
        <f t="shared" si="4"/>
        <v>-1944.3127984623138</v>
      </c>
      <c r="J17" s="7">
        <f t="shared" si="0"/>
        <v>12989.751084000001</v>
      </c>
      <c r="L17" s="5">
        <v>46093</v>
      </c>
      <c r="M17" s="1">
        <v>3500</v>
      </c>
      <c r="N17" s="1">
        <v>2600</v>
      </c>
      <c r="O17" s="6">
        <v>-3493.0127984623145</v>
      </c>
      <c r="P17" s="7">
        <v>4848.9040000000005</v>
      </c>
      <c r="Q17" s="21">
        <f t="shared" si="5"/>
        <v>6942.25</v>
      </c>
      <c r="R17" s="6">
        <f t="shared" si="1"/>
        <v>5157.1000000000004</v>
      </c>
      <c r="S17" s="6">
        <f t="shared" si="6"/>
        <v>-3493.0127984623145</v>
      </c>
      <c r="T17" s="7">
        <f t="shared" si="2"/>
        <v>9617.8010840000006</v>
      </c>
    </row>
    <row r="18" spans="2:20" x14ac:dyDescent="0.3">
      <c r="B18" s="5">
        <v>46094</v>
      </c>
      <c r="C18" s="6">
        <v>2700</v>
      </c>
      <c r="D18" s="6">
        <v>1700</v>
      </c>
      <c r="E18" s="6">
        <v>-1983.9602984623148</v>
      </c>
      <c r="F18" s="7">
        <v>6175.0439999999999</v>
      </c>
      <c r="G18" s="21">
        <f t="shared" si="3"/>
        <v>5355.45</v>
      </c>
      <c r="H18" s="6">
        <f t="shared" si="0"/>
        <v>3371.9500000000003</v>
      </c>
      <c r="I18" s="6">
        <f t="shared" si="4"/>
        <v>-1983.9602984623148</v>
      </c>
      <c r="J18" s="7">
        <f t="shared" si="0"/>
        <v>12248.199774000001</v>
      </c>
      <c r="L18" s="5">
        <v>46094</v>
      </c>
      <c r="M18" s="1">
        <v>3500</v>
      </c>
      <c r="N18" s="1">
        <v>2500</v>
      </c>
      <c r="O18" s="6">
        <v>-3441.5602984623142</v>
      </c>
      <c r="P18" s="7">
        <v>4575.0439999999999</v>
      </c>
      <c r="Q18" s="21">
        <f t="shared" si="5"/>
        <v>6942.25</v>
      </c>
      <c r="R18" s="6">
        <f t="shared" si="1"/>
        <v>4958.75</v>
      </c>
      <c r="S18" s="6">
        <f t="shared" si="6"/>
        <v>-3441.5602984623142</v>
      </c>
      <c r="T18" s="7">
        <f t="shared" si="2"/>
        <v>9074.5997740000003</v>
      </c>
    </row>
    <row r="19" spans="2:20" x14ac:dyDescent="0.3">
      <c r="B19" s="5">
        <v>46095</v>
      </c>
      <c r="C19" s="6">
        <v>2700</v>
      </c>
      <c r="D19" s="6">
        <v>1600</v>
      </c>
      <c r="E19" s="6">
        <v>-1918.8487984623143</v>
      </c>
      <c r="F19" s="7">
        <v>6176.0900000000011</v>
      </c>
      <c r="G19" s="21">
        <f t="shared" si="3"/>
        <v>5355.45</v>
      </c>
      <c r="H19" s="6">
        <f t="shared" si="0"/>
        <v>3173.6</v>
      </c>
      <c r="I19" s="6">
        <f t="shared" si="4"/>
        <v>-1918.8487984623143</v>
      </c>
      <c r="J19" s="7">
        <f t="shared" si="0"/>
        <v>12250.274515000003</v>
      </c>
      <c r="L19" s="5">
        <v>46095</v>
      </c>
      <c r="M19" s="1">
        <v>3500</v>
      </c>
      <c r="N19" s="1">
        <v>2500</v>
      </c>
      <c r="O19" s="6">
        <v>-3467.5487984623142</v>
      </c>
      <c r="P19" s="7">
        <v>4476.09</v>
      </c>
      <c r="Q19" s="21">
        <f t="shared" si="5"/>
        <v>6942.25</v>
      </c>
      <c r="R19" s="6">
        <f t="shared" si="1"/>
        <v>4958.75</v>
      </c>
      <c r="S19" s="6">
        <f t="shared" si="6"/>
        <v>-3467.5487984623142</v>
      </c>
      <c r="T19" s="7">
        <f t="shared" si="2"/>
        <v>8878.3245150000002</v>
      </c>
    </row>
    <row r="20" spans="2:20" x14ac:dyDescent="0.3">
      <c r="B20" s="8">
        <v>46096</v>
      </c>
      <c r="C20" s="10">
        <v>2700</v>
      </c>
      <c r="D20" s="10">
        <v>1500</v>
      </c>
      <c r="E20" s="10">
        <v>-1920.5357984623147</v>
      </c>
      <c r="F20" s="11">
        <v>5932.0820000000003</v>
      </c>
      <c r="G20" s="22">
        <f t="shared" si="3"/>
        <v>5355.45</v>
      </c>
      <c r="H20" s="10">
        <f t="shared" si="0"/>
        <v>2975.25</v>
      </c>
      <c r="I20" s="10">
        <f t="shared" si="4"/>
        <v>-1920.5357984623147</v>
      </c>
      <c r="J20" s="11">
        <f t="shared" si="0"/>
        <v>11766.284647</v>
      </c>
      <c r="L20" s="8">
        <v>46096</v>
      </c>
      <c r="M20" s="9">
        <v>3500</v>
      </c>
      <c r="N20" s="9">
        <v>2400</v>
      </c>
      <c r="O20" s="10">
        <v>-3469.2357984623145</v>
      </c>
      <c r="P20" s="11">
        <v>4232.0819999999994</v>
      </c>
      <c r="Q20" s="22">
        <f t="shared" si="5"/>
        <v>6942.25</v>
      </c>
      <c r="R20" s="10">
        <f t="shared" si="1"/>
        <v>4760.4000000000005</v>
      </c>
      <c r="S20" s="10">
        <f t="shared" si="6"/>
        <v>-3469.2357984623145</v>
      </c>
      <c r="T20" s="11">
        <f t="shared" si="2"/>
        <v>8394.3346469999997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46090</v>
      </c>
      <c r="C28" s="1">
        <v>4200</v>
      </c>
      <c r="D28" s="1">
        <v>3700</v>
      </c>
      <c r="E28" s="6">
        <v>-4906.1782984623133</v>
      </c>
      <c r="F28" s="7">
        <v>4913.7760000000007</v>
      </c>
      <c r="G28" s="21">
        <f>C28*$H$3</f>
        <v>8330.7000000000007</v>
      </c>
      <c r="H28" s="6">
        <f t="shared" ref="H28:H34" si="7">D28*$H$3</f>
        <v>7338.95</v>
      </c>
      <c r="I28" s="6">
        <f>E28</f>
        <v>-4906.1782984623133</v>
      </c>
      <c r="J28" s="7">
        <f t="shared" ref="J28:J34" si="8">F28*$H$3</f>
        <v>9746.4746960000011</v>
      </c>
      <c r="L28" s="5">
        <v>46090</v>
      </c>
      <c r="M28" s="1">
        <v>4200</v>
      </c>
      <c r="N28" s="1">
        <v>5400</v>
      </c>
      <c r="O28" s="6">
        <v>-6454.8782984623131</v>
      </c>
      <c r="P28" s="7">
        <v>3213.7760000000035</v>
      </c>
      <c r="Q28" s="21">
        <f>M28*$H$3</f>
        <v>8330.7000000000007</v>
      </c>
      <c r="R28" s="6">
        <f t="shared" ref="R28:R34" si="9">N28*$H$3</f>
        <v>10710.9</v>
      </c>
      <c r="S28" s="6">
        <f>O28</f>
        <v>-6454.8782984623131</v>
      </c>
      <c r="T28" s="7">
        <f t="shared" ref="T28:T34" si="10">P28*$H$3</f>
        <v>6374.5246960000068</v>
      </c>
    </row>
    <row r="29" spans="2:20" x14ac:dyDescent="0.3">
      <c r="B29" s="5">
        <v>46091</v>
      </c>
      <c r="C29" s="1">
        <v>4200</v>
      </c>
      <c r="D29" s="1">
        <v>3700</v>
      </c>
      <c r="E29" s="6">
        <v>-4987.1902984623139</v>
      </c>
      <c r="F29" s="7">
        <v>4005.9000000000005</v>
      </c>
      <c r="G29" s="21">
        <f t="shared" ref="G29:G34" si="11">C29*$H$3</f>
        <v>8330.7000000000007</v>
      </c>
      <c r="H29" s="6">
        <f t="shared" si="7"/>
        <v>7338.95</v>
      </c>
      <c r="I29" s="6">
        <f t="shared" ref="I29:I34" si="12">E29</f>
        <v>-4987.1902984623139</v>
      </c>
      <c r="J29" s="7">
        <f t="shared" si="8"/>
        <v>7945.7026500000011</v>
      </c>
      <c r="L29" s="5">
        <v>46091</v>
      </c>
      <c r="M29" s="1">
        <v>4200</v>
      </c>
      <c r="N29" s="1">
        <v>5300</v>
      </c>
      <c r="O29" s="6">
        <v>-6444.7902984623142</v>
      </c>
      <c r="P29" s="7">
        <v>2405.9000000000015</v>
      </c>
      <c r="Q29" s="21">
        <f t="shared" ref="Q29:Q34" si="13">M29*$H$3</f>
        <v>8330.7000000000007</v>
      </c>
      <c r="R29" s="6">
        <f t="shared" si="9"/>
        <v>10512.550000000001</v>
      </c>
      <c r="S29" s="6">
        <f t="shared" ref="S29:S34" si="14">O29</f>
        <v>-6444.7902984623142</v>
      </c>
      <c r="T29" s="7">
        <f t="shared" si="10"/>
        <v>4772.1026500000025</v>
      </c>
    </row>
    <row r="30" spans="2:20" x14ac:dyDescent="0.3">
      <c r="B30" s="5">
        <v>46092</v>
      </c>
      <c r="C30" s="1">
        <v>4200</v>
      </c>
      <c r="D30" s="1">
        <v>3600</v>
      </c>
      <c r="E30" s="6">
        <v>-4984.7217984623148</v>
      </c>
      <c r="F30" s="7">
        <v>3625.5210000000006</v>
      </c>
      <c r="G30" s="21">
        <f t="shared" si="11"/>
        <v>8330.7000000000007</v>
      </c>
      <c r="H30" s="6">
        <f t="shared" si="7"/>
        <v>7140.6</v>
      </c>
      <c r="I30" s="6">
        <f t="shared" si="12"/>
        <v>-4984.7217984623148</v>
      </c>
      <c r="J30" s="7">
        <f t="shared" si="8"/>
        <v>7191.2209035000014</v>
      </c>
      <c r="L30" s="5">
        <v>46092</v>
      </c>
      <c r="M30" s="1">
        <v>4200</v>
      </c>
      <c r="N30" s="1">
        <v>5200</v>
      </c>
      <c r="O30" s="6">
        <v>-6442.3217984623134</v>
      </c>
      <c r="P30" s="7">
        <v>2025.5210000000006</v>
      </c>
      <c r="Q30" s="21">
        <f t="shared" si="13"/>
        <v>8330.7000000000007</v>
      </c>
      <c r="R30" s="6">
        <f t="shared" si="9"/>
        <v>10314.200000000001</v>
      </c>
      <c r="S30" s="6">
        <f t="shared" si="14"/>
        <v>-6442.3217984623134</v>
      </c>
      <c r="T30" s="7">
        <f t="shared" si="10"/>
        <v>4017.6209035000015</v>
      </c>
    </row>
    <row r="31" spans="2:20" x14ac:dyDescent="0.3">
      <c r="B31" s="5">
        <v>46093</v>
      </c>
      <c r="C31" s="1">
        <v>4200</v>
      </c>
      <c r="D31" s="1">
        <v>3500</v>
      </c>
      <c r="E31" s="6">
        <v>-4950.6127984623145</v>
      </c>
      <c r="F31" s="7">
        <v>3248.9040000000005</v>
      </c>
      <c r="G31" s="21">
        <f t="shared" si="11"/>
        <v>8330.7000000000007</v>
      </c>
      <c r="H31" s="6">
        <f t="shared" si="7"/>
        <v>6942.25</v>
      </c>
      <c r="I31" s="6">
        <f t="shared" si="12"/>
        <v>-4950.6127984623145</v>
      </c>
      <c r="J31" s="7">
        <f t="shared" si="8"/>
        <v>6444.2010840000012</v>
      </c>
      <c r="L31" s="5">
        <v>46093</v>
      </c>
      <c r="M31" s="1">
        <v>4200</v>
      </c>
      <c r="N31" s="1">
        <v>5100</v>
      </c>
      <c r="O31" s="6">
        <v>-6408.2127984623148</v>
      </c>
      <c r="P31" s="7">
        <v>1648.9039999999986</v>
      </c>
      <c r="Q31" s="21">
        <f t="shared" si="13"/>
        <v>8330.7000000000007</v>
      </c>
      <c r="R31" s="6">
        <f t="shared" si="9"/>
        <v>10115.85</v>
      </c>
      <c r="S31" s="6">
        <f t="shared" si="14"/>
        <v>-6408.2127984623148</v>
      </c>
      <c r="T31" s="7">
        <f t="shared" si="10"/>
        <v>3270.6010839999972</v>
      </c>
    </row>
    <row r="32" spans="2:20" x14ac:dyDescent="0.3">
      <c r="B32" s="5">
        <v>46094</v>
      </c>
      <c r="C32" s="1">
        <v>4200</v>
      </c>
      <c r="D32" s="1">
        <v>3500</v>
      </c>
      <c r="E32" s="6">
        <v>-4990.2602984623154</v>
      </c>
      <c r="F32" s="7">
        <v>2875.0439999999999</v>
      </c>
      <c r="G32" s="21">
        <f t="shared" si="11"/>
        <v>8330.7000000000007</v>
      </c>
      <c r="H32" s="6">
        <f t="shared" si="7"/>
        <v>6942.25</v>
      </c>
      <c r="I32" s="6">
        <f t="shared" si="12"/>
        <v>-4990.2602984623154</v>
      </c>
      <c r="J32" s="7">
        <f t="shared" si="8"/>
        <v>5702.6497739999995</v>
      </c>
      <c r="L32" s="5">
        <v>46094</v>
      </c>
      <c r="M32" s="1">
        <v>4200</v>
      </c>
      <c r="N32" s="1">
        <v>5100</v>
      </c>
      <c r="O32" s="6">
        <v>-6447.8602984623139</v>
      </c>
      <c r="P32" s="7">
        <v>1275.0439999999981</v>
      </c>
      <c r="Q32" s="21">
        <f t="shared" si="13"/>
        <v>8330.7000000000007</v>
      </c>
      <c r="R32" s="6">
        <f t="shared" si="9"/>
        <v>10115.85</v>
      </c>
      <c r="S32" s="6">
        <f t="shared" si="14"/>
        <v>-6447.8602984623139</v>
      </c>
      <c r="T32" s="7">
        <f t="shared" si="10"/>
        <v>2529.049773999996</v>
      </c>
    </row>
    <row r="33" spans="2:20" x14ac:dyDescent="0.3">
      <c r="B33" s="5">
        <v>46095</v>
      </c>
      <c r="C33" s="1">
        <v>4200</v>
      </c>
      <c r="D33" s="1">
        <v>3400</v>
      </c>
      <c r="E33" s="6">
        <v>-4925.1487984623145</v>
      </c>
      <c r="F33" s="7">
        <v>2876.0899999999992</v>
      </c>
      <c r="G33" s="21">
        <f t="shared" si="11"/>
        <v>8330.7000000000007</v>
      </c>
      <c r="H33" s="6">
        <f t="shared" si="7"/>
        <v>6743.9000000000005</v>
      </c>
      <c r="I33" s="6">
        <f t="shared" si="12"/>
        <v>-4925.1487984623145</v>
      </c>
      <c r="J33" s="7">
        <f t="shared" si="8"/>
        <v>5704.724514999999</v>
      </c>
      <c r="L33" s="5">
        <v>46095</v>
      </c>
      <c r="M33" s="1">
        <v>4200</v>
      </c>
      <c r="N33" s="1">
        <v>5100</v>
      </c>
      <c r="O33" s="6">
        <v>-6473.8487984623143</v>
      </c>
      <c r="P33" s="7">
        <v>1176.0899999999983</v>
      </c>
      <c r="Q33" s="21">
        <f t="shared" si="13"/>
        <v>8330.7000000000007</v>
      </c>
      <c r="R33" s="6">
        <f t="shared" si="9"/>
        <v>10115.85</v>
      </c>
      <c r="S33" s="6">
        <f t="shared" si="14"/>
        <v>-6473.8487984623143</v>
      </c>
      <c r="T33" s="7">
        <f t="shared" si="10"/>
        <v>2332.7745149999969</v>
      </c>
    </row>
    <row r="34" spans="2:20" x14ac:dyDescent="0.3">
      <c r="B34" s="8">
        <v>46096</v>
      </c>
      <c r="C34" s="9">
        <v>4200</v>
      </c>
      <c r="D34" s="9">
        <v>3300</v>
      </c>
      <c r="E34" s="10">
        <v>-4926.8357984623144</v>
      </c>
      <c r="F34" s="11">
        <v>2632.0820000000003</v>
      </c>
      <c r="G34" s="22">
        <f t="shared" si="11"/>
        <v>8330.7000000000007</v>
      </c>
      <c r="H34" s="10">
        <f t="shared" si="7"/>
        <v>6545.55</v>
      </c>
      <c r="I34" s="10">
        <f t="shared" si="12"/>
        <v>-4926.8357984623144</v>
      </c>
      <c r="J34" s="11">
        <f t="shared" si="8"/>
        <v>5220.7346470000011</v>
      </c>
      <c r="L34" s="8">
        <v>46096</v>
      </c>
      <c r="M34" s="9">
        <v>4200</v>
      </c>
      <c r="N34" s="9">
        <v>5000</v>
      </c>
      <c r="O34" s="10">
        <v>-6475.5357984623133</v>
      </c>
      <c r="P34" s="11">
        <v>932.08200000000033</v>
      </c>
      <c r="Q34" s="22">
        <f t="shared" si="13"/>
        <v>8330.7000000000007</v>
      </c>
      <c r="R34" s="10">
        <f t="shared" si="9"/>
        <v>9917.5</v>
      </c>
      <c r="S34" s="10">
        <f t="shared" si="14"/>
        <v>-6475.5357984623133</v>
      </c>
      <c r="T34" s="11">
        <f t="shared" si="10"/>
        <v>1848.7846470000006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2026-03-10T18:22:27Z</dcterms:modified>
</cp:coreProperties>
</file>