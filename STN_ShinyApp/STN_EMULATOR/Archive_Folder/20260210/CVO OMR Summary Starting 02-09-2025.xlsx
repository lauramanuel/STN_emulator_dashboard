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Input_archive\20260210DSM2InputData\"/>
    </mc:Choice>
  </mc:AlternateContent>
  <xr:revisionPtr revIDLastSave="0" documentId="13_ncr:1_{651C8522-6A14-4475-A845-707D42DAE1C6}" xr6:coauthVersionLast="47" xr6:coauthVersionMax="47" xr10:uidLastSave="{00000000-0000-0000-0000-000000000000}"/>
  <bookViews>
    <workbookView xWindow="22932" yWindow="-108" windowWidth="30936" windowHeight="1677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" l="1"/>
  <c r="S19" i="1"/>
  <c r="S18" i="1"/>
  <c r="S17" i="1"/>
  <c r="S16" i="1"/>
  <c r="S15" i="1"/>
  <c r="S14" i="1"/>
  <c r="S34" i="1"/>
  <c r="S33" i="1"/>
  <c r="S32" i="1"/>
  <c r="S31" i="1"/>
  <c r="S30" i="1"/>
  <c r="S29" i="1"/>
  <c r="S28" i="1"/>
  <c r="I34" i="1"/>
  <c r="I33" i="1"/>
  <c r="I32" i="1"/>
  <c r="I31" i="1"/>
  <c r="I30" i="1"/>
  <c r="I29" i="1"/>
  <c r="I28" i="1"/>
  <c r="I15" i="1"/>
  <c r="I16" i="1"/>
  <c r="I17" i="1"/>
  <c r="I18" i="1"/>
  <c r="I19" i="1"/>
  <c r="I20" i="1"/>
  <c r="I14" i="1"/>
  <c r="T34" i="1"/>
  <c r="R34" i="1"/>
  <c r="Q34" i="1"/>
  <c r="T33" i="1"/>
  <c r="R33" i="1"/>
  <c r="Q33" i="1"/>
  <c r="T32" i="1"/>
  <c r="R32" i="1"/>
  <c r="Q32" i="1"/>
  <c r="T31" i="1"/>
  <c r="R31" i="1"/>
  <c r="Q31" i="1"/>
  <c r="T30" i="1"/>
  <c r="R30" i="1"/>
  <c r="Q30" i="1"/>
  <c r="T29" i="1"/>
  <c r="R29" i="1"/>
  <c r="Q29" i="1"/>
  <c r="T28" i="1"/>
  <c r="R28" i="1"/>
  <c r="Q28" i="1"/>
  <c r="T20" i="1"/>
  <c r="R20" i="1"/>
  <c r="Q20" i="1"/>
  <c r="T19" i="1"/>
  <c r="R19" i="1"/>
  <c r="Q19" i="1"/>
  <c r="T18" i="1"/>
  <c r="R18" i="1"/>
  <c r="Q18" i="1"/>
  <c r="T17" i="1"/>
  <c r="R17" i="1"/>
  <c r="Q17" i="1"/>
  <c r="T16" i="1"/>
  <c r="R16" i="1"/>
  <c r="Q16" i="1"/>
  <c r="T15" i="1"/>
  <c r="R15" i="1"/>
  <c r="Q15" i="1"/>
  <c r="T14" i="1"/>
  <c r="R14" i="1"/>
  <c r="Q14" i="1"/>
  <c r="J34" i="1"/>
  <c r="H34" i="1"/>
  <c r="G34" i="1"/>
  <c r="J33" i="1"/>
  <c r="H33" i="1"/>
  <c r="G33" i="1"/>
  <c r="J32" i="1"/>
  <c r="H32" i="1"/>
  <c r="G32" i="1"/>
  <c r="J31" i="1"/>
  <c r="H31" i="1"/>
  <c r="G31" i="1"/>
  <c r="J30" i="1"/>
  <c r="H30" i="1"/>
  <c r="G30" i="1"/>
  <c r="J29" i="1"/>
  <c r="H29" i="1"/>
  <c r="G29" i="1"/>
  <c r="J28" i="1"/>
  <c r="H28" i="1"/>
  <c r="G28" i="1"/>
  <c r="G15" i="1"/>
  <c r="H15" i="1"/>
  <c r="J15" i="1"/>
  <c r="G16" i="1"/>
  <c r="H16" i="1"/>
  <c r="J16" i="1"/>
  <c r="G17" i="1"/>
  <c r="H17" i="1"/>
  <c r="J17" i="1"/>
  <c r="G18" i="1"/>
  <c r="H18" i="1"/>
  <c r="J18" i="1"/>
  <c r="G19" i="1"/>
  <c r="H19" i="1"/>
  <c r="J19" i="1"/>
  <c r="G20" i="1"/>
  <c r="H20" i="1"/>
  <c r="J20" i="1"/>
  <c r="H14" i="1"/>
  <c r="J14" i="1"/>
  <c r="G14" i="1"/>
</calcChain>
</file>

<file path=xl/sharedStrings.xml><?xml version="1.0" encoding="utf-8"?>
<sst xmlns="http://schemas.openxmlformats.org/spreadsheetml/2006/main" count="81" uniqueCount="16">
  <si>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</si>
  <si>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</si>
  <si>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</si>
  <si>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</si>
  <si>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</si>
  <si>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</si>
  <si>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</si>
  <si>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</si>
  <si>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</si>
  <si>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</si>
  <si>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-6250</t>
  </si>
  <si>
    <t>Data as of 02/09/2026</t>
  </si>
  <si>
    <t>Estimate as of 02/09/2026</t>
  </si>
  <si>
    <t>AF</t>
  </si>
  <si>
    <t>1 CFS = 1.9835 Acre-Feet per day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</si>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</sst>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zoomScale="110" zoomScaleNormal="110" workbookViewId="0">
      <pane xSplit="2" topLeftCell="C1" activePane="topRight" state="frozen"/>
      <selection activeCell="A19" sqref="A19"/>
      <selection pane="topRight" activeCell="H7" sqref="H7"/>
    </sheetView>
  </sheetViews>
  <sheetFormatPr defaultRowHeight="14.4" x14ac:dyDescent="0.3"/>
  <cols>
    <col min="1" max="1" width="4.21875" customWidth="1"/>
    <col min="2" max="2" width="12.6640625" style="1" customWidth="1"/>
    <col min="3" max="10" width="12.6640625" customWidth="1"/>
    <col min="11" max="11" width="4.6640625" customWidth="1"/>
    <col min="12" max="30" width="12.6640625" customWidth="1"/>
  </cols>
  <sheetData>
    <row r="2" spans="2:20" x14ac:dyDescent="0.3">
      <c r="G2" s="25" t="s">
        <v>15</v>
      </c>
      <c r="H2" s="25"/>
    </row>
    <row r="3" spans="2:20" ht="39.6" x14ac:dyDescent="0.3">
      <c r="B3" t="s">
        <v>9</v>
      </c>
      <c r="G3" s="23" t="s">
        <v>14</v>
      </c>
      <c r="H3" s="24">
        <v>1.9835</v>
      </c>
    </row>
    <row r="4" spans="2:20" x14ac:dyDescent="0.3">
      <c r="B4"/>
    </row>
    <row r="5" spans="2:20" x14ac:dyDescent="0.3">
      <c r="B5" t="s">
        <v>11</v>
      </c>
    </row>
    <row r="7" spans="2:20" x14ac:dyDescent="0.3">
      <c r="B7" s="12" t="s">
        <v>12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H10" s="18"/>
      <c r="I10" s="18"/>
      <c r="J10" s="3"/>
      <c r="L10" s="2"/>
      <c r="P10" s="3"/>
      <c r="Q10" s="20"/>
      <c r="R10" s="18"/>
      <c r="S10" s="18"/>
      <c r="T10" s="3"/>
    </row>
    <row r="11" spans="2:20" x14ac:dyDescent="0.3">
      <c r="B11" s="2"/>
      <c r="C11" s="16" t="s">
        <v>0</v>
      </c>
      <c r="D11" s="16"/>
      <c r="F11" s="3"/>
      <c r="G11" s="20"/>
      <c r="H11" s="18"/>
      <c r="I11" s="18"/>
      <c r="J11" s="3"/>
      <c r="L11" s="2"/>
      <c r="M11" s="16" t="s">
        <v>0</v>
      </c>
      <c r="N11" s="16"/>
      <c r="P11" s="3"/>
      <c r="Q11" s="20"/>
      <c r="R11" s="18"/>
      <c r="S11" s="18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7" t="s">
        <v>2</v>
      </c>
      <c r="I12" s="17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7" t="s">
        <v>2</v>
      </c>
      <c r="S12" s="17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13</v>
      </c>
      <c r="H13" s="17" t="s">
        <v>13</v>
      </c>
      <c r="I13" s="17" t="s">
        <v>6</v>
      </c>
      <c r="J13" s="4" t="s">
        <v>13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13</v>
      </c>
      <c r="R13" s="17" t="s">
        <v>13</v>
      </c>
      <c r="S13" s="17" t="s">
        <v>6</v>
      </c>
      <c r="T13" s="4" t="s">
        <v>13</v>
      </c>
    </row>
    <row r="14" spans="2:20" x14ac:dyDescent="0.3">
      <c r="B14" s="5">
        <v>46062</v>
      </c>
      <c r="C14" s="1">
        <v>1800</v>
      </c>
      <c r="D14" s="1">
        <v>1400</v>
      </c>
      <c r="E14" s="6">
        <v>-1944.0345218048903</v>
      </c>
      <c r="F14" s="7">
        <v>4261.1900000000005</v>
      </c>
      <c r="G14" s="21">
        <f>C14*$H$3</f>
        <v>3570.3</v>
      </c>
      <c r="H14" s="19">
        <f t="shared" ref="H14:J14" si="0">D14*$H$3</f>
        <v>2776.9</v>
      </c>
      <c r="I14" s="19">
        <f>E14</f>
        <v>-1944.0345218048903</v>
      </c>
      <c r="J14" s="7">
        <f t="shared" si="0"/>
        <v>8452.0703650000014</v>
      </c>
      <c r="L14" s="5">
        <v>46062</v>
      </c>
      <c r="M14" s="1">
        <v>1800</v>
      </c>
      <c r="N14" s="1">
        <v>3100</v>
      </c>
      <c r="O14" s="6">
        <v>-3492.7345218048904</v>
      </c>
      <c r="P14" s="7">
        <v>2561.1899999999996</v>
      </c>
      <c r="Q14" s="21">
        <f>M14*$H$3</f>
        <v>3570.3</v>
      </c>
      <c r="R14" s="19">
        <f t="shared" ref="R14:R20" si="1">N14*$H$3</f>
        <v>6148.85</v>
      </c>
      <c r="S14" s="19">
        <f>O14</f>
        <v>-3492.7345218048904</v>
      </c>
      <c r="T14" s="7">
        <f t="shared" ref="T14:T20" si="2">P14*$H$3</f>
        <v>5080.1203649999998</v>
      </c>
    </row>
    <row r="15" spans="2:20" x14ac:dyDescent="0.3">
      <c r="B15" s="5">
        <v>46063</v>
      </c>
      <c r="C15" s="1">
        <v>1800</v>
      </c>
      <c r="D15" s="1">
        <v>1400</v>
      </c>
      <c r="E15" s="6">
        <v>-1941.5960218048906</v>
      </c>
      <c r="F15" s="7">
        <v>4089.5599999999995</v>
      </c>
      <c r="G15" s="21">
        <f t="shared" ref="G15:G20" si="3">C15*$H$3</f>
        <v>3570.3</v>
      </c>
      <c r="H15" s="19">
        <f t="shared" ref="H15:H20" si="4">D15*$H$3</f>
        <v>2776.9</v>
      </c>
      <c r="I15" s="19">
        <f t="shared" ref="I15:I20" si="5">E15</f>
        <v>-1941.5960218048906</v>
      </c>
      <c r="J15" s="7">
        <f t="shared" ref="J15:J20" si="6">F15*$H$3</f>
        <v>8111.6422599999987</v>
      </c>
      <c r="L15" s="5">
        <v>46063</v>
      </c>
      <c r="M15" s="1">
        <v>1800</v>
      </c>
      <c r="N15" s="1">
        <v>3100</v>
      </c>
      <c r="O15" s="6">
        <v>-3490.2960218048902</v>
      </c>
      <c r="P15" s="7">
        <v>2389.5599999999995</v>
      </c>
      <c r="Q15" s="21">
        <f t="shared" ref="Q15:Q20" si="7">M15*$H$3</f>
        <v>3570.3</v>
      </c>
      <c r="R15" s="19">
        <f t="shared" si="1"/>
        <v>6148.85</v>
      </c>
      <c r="S15" s="19">
        <f t="shared" ref="S15:S20" si="8">O15</f>
        <v>-3490.2960218048902</v>
      </c>
      <c r="T15" s="7">
        <f t="shared" si="2"/>
        <v>4739.6922599999989</v>
      </c>
    </row>
    <row r="16" spans="2:20" x14ac:dyDescent="0.3">
      <c r="B16" s="5">
        <v>46064</v>
      </c>
      <c r="C16" s="1">
        <v>1800</v>
      </c>
      <c r="D16" s="1">
        <v>1400</v>
      </c>
      <c r="E16" s="6">
        <v>-1918.9880218048906</v>
      </c>
      <c r="F16" s="7">
        <v>4171.1090000000004</v>
      </c>
      <c r="G16" s="21">
        <f t="shared" si="3"/>
        <v>3570.3</v>
      </c>
      <c r="H16" s="19">
        <f t="shared" si="4"/>
        <v>2776.9</v>
      </c>
      <c r="I16" s="19">
        <f t="shared" si="5"/>
        <v>-1918.9880218048906</v>
      </c>
      <c r="J16" s="7">
        <f t="shared" si="6"/>
        <v>8273.3947015000012</v>
      </c>
      <c r="L16" s="5">
        <v>46064</v>
      </c>
      <c r="M16" s="1">
        <v>2700</v>
      </c>
      <c r="N16" s="1">
        <v>2200</v>
      </c>
      <c r="O16" s="6">
        <v>-3467.6880218048905</v>
      </c>
      <c r="P16" s="7">
        <v>2471.1090000000004</v>
      </c>
      <c r="Q16" s="21">
        <f t="shared" si="7"/>
        <v>5355.45</v>
      </c>
      <c r="R16" s="19">
        <f t="shared" si="1"/>
        <v>4363.7</v>
      </c>
      <c r="S16" s="19">
        <f t="shared" si="8"/>
        <v>-3467.6880218048905</v>
      </c>
      <c r="T16" s="7">
        <f t="shared" si="2"/>
        <v>4901.4447015000005</v>
      </c>
    </row>
    <row r="17" spans="2:20" x14ac:dyDescent="0.3">
      <c r="B17" s="5">
        <v>46065</v>
      </c>
      <c r="C17" s="1">
        <v>900</v>
      </c>
      <c r="D17" s="1">
        <v>1800</v>
      </c>
      <c r="E17" s="6">
        <v>-1934.4880218048906</v>
      </c>
      <c r="F17" s="7">
        <v>3791.762999999999</v>
      </c>
      <c r="G17" s="21">
        <f t="shared" si="3"/>
        <v>1785.15</v>
      </c>
      <c r="H17" s="19">
        <f t="shared" si="4"/>
        <v>3570.3</v>
      </c>
      <c r="I17" s="19">
        <f t="shared" si="5"/>
        <v>-1934.4880218048906</v>
      </c>
      <c r="J17" s="7">
        <f t="shared" si="6"/>
        <v>7520.9619104999983</v>
      </c>
      <c r="L17" s="5">
        <v>46065</v>
      </c>
      <c r="M17" s="1">
        <v>2700</v>
      </c>
      <c r="N17" s="1">
        <v>1700</v>
      </c>
      <c r="O17" s="6">
        <v>-3483.1880218048905</v>
      </c>
      <c r="P17" s="7">
        <v>2091.7629999999999</v>
      </c>
      <c r="Q17" s="21">
        <f t="shared" si="7"/>
        <v>5355.45</v>
      </c>
      <c r="R17" s="19">
        <f t="shared" si="1"/>
        <v>3371.9500000000003</v>
      </c>
      <c r="S17" s="19">
        <f t="shared" si="8"/>
        <v>-3483.1880218048905</v>
      </c>
      <c r="T17" s="7">
        <f t="shared" si="2"/>
        <v>4149.0119105000003</v>
      </c>
    </row>
    <row r="18" spans="2:20" x14ac:dyDescent="0.3">
      <c r="B18" s="5">
        <v>46066</v>
      </c>
      <c r="C18" s="1">
        <v>900</v>
      </c>
      <c r="D18" s="1">
        <v>1800</v>
      </c>
      <c r="E18" s="6">
        <v>-1934.4880218048906</v>
      </c>
      <c r="F18" s="7">
        <v>4000.3629999999994</v>
      </c>
      <c r="G18" s="21">
        <f t="shared" si="3"/>
        <v>1785.15</v>
      </c>
      <c r="H18" s="19">
        <f t="shared" si="4"/>
        <v>3570.3</v>
      </c>
      <c r="I18" s="19">
        <f t="shared" si="5"/>
        <v>-1934.4880218048906</v>
      </c>
      <c r="J18" s="7">
        <f t="shared" si="6"/>
        <v>7934.7200104999993</v>
      </c>
      <c r="L18" s="5">
        <v>46066</v>
      </c>
      <c r="M18" s="1">
        <v>2700</v>
      </c>
      <c r="N18" s="1">
        <v>1700</v>
      </c>
      <c r="O18" s="6">
        <v>-3483.1880218048905</v>
      </c>
      <c r="P18" s="7">
        <v>2300.3630000000003</v>
      </c>
      <c r="Q18" s="21">
        <f t="shared" si="7"/>
        <v>5355.45</v>
      </c>
      <c r="R18" s="19">
        <f t="shared" si="1"/>
        <v>3371.9500000000003</v>
      </c>
      <c r="S18" s="19">
        <f t="shared" si="8"/>
        <v>-3483.1880218048905</v>
      </c>
      <c r="T18" s="7">
        <f t="shared" si="2"/>
        <v>4562.7700105000004</v>
      </c>
    </row>
    <row r="19" spans="2:20" x14ac:dyDescent="0.3">
      <c r="B19" s="5">
        <v>46067</v>
      </c>
      <c r="C19" s="1">
        <v>900</v>
      </c>
      <c r="D19" s="1">
        <v>1800</v>
      </c>
      <c r="E19" s="6">
        <v>-1934.4880218048906</v>
      </c>
      <c r="F19" s="7">
        <v>4034.384</v>
      </c>
      <c r="G19" s="21">
        <f t="shared" si="3"/>
        <v>1785.15</v>
      </c>
      <c r="H19" s="19">
        <f t="shared" si="4"/>
        <v>3570.3</v>
      </c>
      <c r="I19" s="19">
        <f t="shared" si="5"/>
        <v>-1934.4880218048906</v>
      </c>
      <c r="J19" s="7">
        <f t="shared" si="6"/>
        <v>8002.200664</v>
      </c>
      <c r="L19" s="5">
        <v>46067</v>
      </c>
      <c r="M19" s="1">
        <v>2700</v>
      </c>
      <c r="N19" s="1">
        <v>1700</v>
      </c>
      <c r="O19" s="6">
        <v>-3483.1880218048905</v>
      </c>
      <c r="P19" s="7">
        <v>2334.384</v>
      </c>
      <c r="Q19" s="21">
        <f t="shared" si="7"/>
        <v>5355.45</v>
      </c>
      <c r="R19" s="19">
        <f t="shared" si="1"/>
        <v>3371.9500000000003</v>
      </c>
      <c r="S19" s="19">
        <f t="shared" si="8"/>
        <v>-3483.1880218048905</v>
      </c>
      <c r="T19" s="7">
        <f t="shared" si="2"/>
        <v>4630.2506640000001</v>
      </c>
    </row>
    <row r="20" spans="2:20" x14ac:dyDescent="0.3">
      <c r="B20" s="8">
        <v>46068</v>
      </c>
      <c r="C20" s="9">
        <v>900</v>
      </c>
      <c r="D20" s="9">
        <v>1800</v>
      </c>
      <c r="E20" s="10">
        <v>-1934.4880218048906</v>
      </c>
      <c r="F20" s="11">
        <v>4220.9030000000002</v>
      </c>
      <c r="G20" s="22">
        <f t="shared" si="3"/>
        <v>1785.15</v>
      </c>
      <c r="H20" s="10">
        <f t="shared" si="4"/>
        <v>3570.3</v>
      </c>
      <c r="I20" s="10">
        <f t="shared" si="5"/>
        <v>-1934.4880218048906</v>
      </c>
      <c r="J20" s="11">
        <f t="shared" si="6"/>
        <v>8372.1611005000013</v>
      </c>
      <c r="L20" s="8">
        <v>46068</v>
      </c>
      <c r="M20" s="9">
        <v>2700</v>
      </c>
      <c r="N20" s="9">
        <v>1700</v>
      </c>
      <c r="O20" s="10">
        <v>-3483.1880218048905</v>
      </c>
      <c r="P20" s="11">
        <v>2520.9030000000002</v>
      </c>
      <c r="Q20" s="22">
        <f t="shared" si="7"/>
        <v>5355.45</v>
      </c>
      <c r="R20" s="10">
        <f t="shared" si="1"/>
        <v>3371.9500000000003</v>
      </c>
      <c r="S20" s="10">
        <f t="shared" si="8"/>
        <v>-3483.1880218048905</v>
      </c>
      <c r="T20" s="11">
        <f t="shared" si="2"/>
        <v>5000.2111005000006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10</v>
      </c>
      <c r="M23" s="14"/>
      <c r="N23" s="14"/>
      <c r="O23" s="14"/>
      <c r="P23" s="15"/>
      <c r="Q23" s="13" t="s">
        <v>10</v>
      </c>
      <c r="R23" s="14"/>
      <c r="S23" s="14"/>
      <c r="T23" s="15"/>
    </row>
    <row r="24" spans="2:20" x14ac:dyDescent="0.3">
      <c r="B24" s="2"/>
      <c r="F24" s="3"/>
      <c r="G24" s="20"/>
      <c r="H24" s="18"/>
      <c r="I24" s="18"/>
      <c r="J24" s="3"/>
      <c r="L24" s="2"/>
      <c r="P24" s="3"/>
      <c r="Q24" s="20"/>
      <c r="R24" s="18"/>
      <c r="S24" s="18"/>
      <c r="T24" s="3"/>
    </row>
    <row r="25" spans="2:20" x14ac:dyDescent="0.3">
      <c r="B25" s="2"/>
      <c r="C25" s="16" t="s">
        <v>0</v>
      </c>
      <c r="D25" s="16"/>
      <c r="F25" s="3"/>
      <c r="G25" s="20"/>
      <c r="H25" s="18"/>
      <c r="I25" s="18"/>
      <c r="J25" s="3"/>
      <c r="L25" s="2"/>
      <c r="M25" s="16" t="s">
        <v>0</v>
      </c>
      <c r="N25" s="16"/>
      <c r="P25" s="3"/>
      <c r="Q25" s="20"/>
      <c r="R25" s="18"/>
      <c r="S25" s="18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7" t="s">
        <v>2</v>
      </c>
      <c r="I26" s="17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7" t="s">
        <v>2</v>
      </c>
      <c r="S26" s="17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13</v>
      </c>
      <c r="H27" s="17" t="s">
        <v>13</v>
      </c>
      <c r="I27" s="17" t="s">
        <v>6</v>
      </c>
      <c r="J27" s="4" t="s">
        <v>13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13</v>
      </c>
      <c r="R27" s="17" t="s">
        <v>13</v>
      </c>
      <c r="S27" s="17" t="s">
        <v>6</v>
      </c>
      <c r="T27" s="4" t="s">
        <v>13</v>
      </c>
    </row>
    <row r="28" spans="2:20" x14ac:dyDescent="0.3">
      <c r="B28" s="5">
        <v>46062</v>
      </c>
      <c r="C28" s="1">
        <v>1800</v>
      </c>
      <c r="D28" s="1">
        <v>4700</v>
      </c>
      <c r="E28" s="6">
        <v>-4950.3345218048908</v>
      </c>
      <c r="F28" s="7">
        <v>961.19000000000051</v>
      </c>
      <c r="G28" s="21">
        <f>C28*$H$3</f>
        <v>3570.3</v>
      </c>
      <c r="H28" s="19">
        <f t="shared" ref="H28:H34" si="9">D28*$H$3</f>
        <v>9322.4500000000007</v>
      </c>
      <c r="I28" s="19">
        <f>E28</f>
        <v>-4950.3345218048908</v>
      </c>
      <c r="J28" s="7">
        <f t="shared" ref="J28:J34" si="10">F28*$H$3</f>
        <v>1906.520365000001</v>
      </c>
      <c r="L28" s="5">
        <v>46062</v>
      </c>
      <c r="M28" s="1">
        <v>1800</v>
      </c>
      <c r="N28" s="1">
        <v>6100</v>
      </c>
      <c r="O28" s="6">
        <v>-6225.7345218048913</v>
      </c>
      <c r="P28" s="7">
        <v>-438.8100000000004</v>
      </c>
      <c r="Q28" s="21">
        <f>M28*$H$3</f>
        <v>3570.3</v>
      </c>
      <c r="R28" s="19">
        <f t="shared" ref="R28:R34" si="11">N28*$H$3</f>
        <v>12099.35</v>
      </c>
      <c r="S28" s="19">
        <f>O28</f>
        <v>-6225.7345218048913</v>
      </c>
      <c r="T28" s="7">
        <f t="shared" ref="T28:T34" si="12">P28*$H$3</f>
        <v>-870.3796350000008</v>
      </c>
    </row>
    <row r="29" spans="2:20" x14ac:dyDescent="0.3">
      <c r="B29" s="5">
        <v>46063</v>
      </c>
      <c r="C29" s="1">
        <v>1800</v>
      </c>
      <c r="D29" s="1">
        <v>4700</v>
      </c>
      <c r="E29" s="6">
        <v>-4947.8960218048906</v>
      </c>
      <c r="F29" s="7">
        <v>789.5600000000004</v>
      </c>
      <c r="G29" s="21">
        <f t="shared" ref="G29:G34" si="13">C29*$H$3</f>
        <v>3570.3</v>
      </c>
      <c r="H29" s="19">
        <f t="shared" si="9"/>
        <v>9322.4500000000007</v>
      </c>
      <c r="I29" s="19">
        <f t="shared" ref="I29:I34" si="14">E29</f>
        <v>-4947.8960218048906</v>
      </c>
      <c r="J29" s="7">
        <f t="shared" si="10"/>
        <v>1566.0922600000008</v>
      </c>
      <c r="L29" s="5">
        <v>46063</v>
      </c>
      <c r="M29" s="1">
        <v>1800</v>
      </c>
      <c r="N29" s="1">
        <v>6100</v>
      </c>
      <c r="O29" s="6">
        <v>-6223.2960218048902</v>
      </c>
      <c r="P29" s="7">
        <v>-610.44000000000051</v>
      </c>
      <c r="Q29" s="21">
        <f t="shared" ref="Q29:Q34" si="15">M29*$H$3</f>
        <v>3570.3</v>
      </c>
      <c r="R29" s="19">
        <f t="shared" si="11"/>
        <v>12099.35</v>
      </c>
      <c r="S29" s="19">
        <f t="shared" ref="S29:S34" si="16">O29</f>
        <v>-6223.2960218048902</v>
      </c>
      <c r="T29" s="7">
        <f t="shared" si="12"/>
        <v>-1210.8077400000011</v>
      </c>
    </row>
    <row r="30" spans="2:20" x14ac:dyDescent="0.3">
      <c r="B30" s="5">
        <v>46064</v>
      </c>
      <c r="C30" s="1">
        <v>3500</v>
      </c>
      <c r="D30" s="1">
        <v>3000</v>
      </c>
      <c r="E30" s="6">
        <v>-4925.2880218048904</v>
      </c>
      <c r="F30" s="7">
        <v>871.10900000000038</v>
      </c>
      <c r="G30" s="21">
        <f t="shared" si="13"/>
        <v>6942.25</v>
      </c>
      <c r="H30" s="19">
        <f t="shared" si="9"/>
        <v>5950.5</v>
      </c>
      <c r="I30" s="19">
        <f t="shared" si="14"/>
        <v>-4925.2880218048904</v>
      </c>
      <c r="J30" s="7">
        <f t="shared" si="10"/>
        <v>1727.8447015000008</v>
      </c>
      <c r="L30" s="5">
        <v>46064</v>
      </c>
      <c r="M30" s="1">
        <v>4200</v>
      </c>
      <c r="N30" s="1">
        <v>3700</v>
      </c>
      <c r="O30" s="6">
        <v>-6200.68802180489</v>
      </c>
      <c r="P30" s="7">
        <v>-528.89100000000053</v>
      </c>
      <c r="Q30" s="21">
        <f t="shared" si="15"/>
        <v>8330.7000000000007</v>
      </c>
      <c r="R30" s="19">
        <f t="shared" si="11"/>
        <v>7338.95</v>
      </c>
      <c r="S30" s="19">
        <f t="shared" si="16"/>
        <v>-6200.68802180489</v>
      </c>
      <c r="T30" s="7">
        <f t="shared" si="12"/>
        <v>-1049.0552985000011</v>
      </c>
    </row>
    <row r="31" spans="2:20" x14ac:dyDescent="0.3">
      <c r="B31" s="5">
        <v>46065</v>
      </c>
      <c r="C31" s="1">
        <v>3500</v>
      </c>
      <c r="D31" s="1">
        <v>2500</v>
      </c>
      <c r="E31" s="6">
        <v>-4940.7880218048904</v>
      </c>
      <c r="F31" s="7">
        <v>491.76299999999992</v>
      </c>
      <c r="G31" s="21">
        <f t="shared" si="13"/>
        <v>6942.25</v>
      </c>
      <c r="H31" s="19">
        <f t="shared" si="9"/>
        <v>4958.75</v>
      </c>
      <c r="I31" s="19">
        <f t="shared" si="14"/>
        <v>-4940.7880218048904</v>
      </c>
      <c r="J31" s="7">
        <f t="shared" si="10"/>
        <v>975.41191049999986</v>
      </c>
      <c r="L31" s="5">
        <v>46065</v>
      </c>
      <c r="M31" s="1">
        <v>4200</v>
      </c>
      <c r="N31" s="1">
        <v>3200</v>
      </c>
      <c r="O31" s="6">
        <v>-6216.18802180489</v>
      </c>
      <c r="P31" s="7">
        <v>-908.23700000000099</v>
      </c>
      <c r="Q31" s="21">
        <f t="shared" si="15"/>
        <v>8330.7000000000007</v>
      </c>
      <c r="R31" s="19">
        <f t="shared" si="11"/>
        <v>6347.2</v>
      </c>
      <c r="S31" s="19">
        <f t="shared" si="16"/>
        <v>-6216.18802180489</v>
      </c>
      <c r="T31" s="7">
        <f t="shared" si="12"/>
        <v>-1801.4880895000019</v>
      </c>
    </row>
    <row r="32" spans="2:20" x14ac:dyDescent="0.3">
      <c r="B32" s="5">
        <v>46066</v>
      </c>
      <c r="C32" s="1">
        <v>3500</v>
      </c>
      <c r="D32" s="1">
        <v>2500</v>
      </c>
      <c r="E32" s="6">
        <v>-4940.7880218048904</v>
      </c>
      <c r="F32" s="7">
        <v>700.36300000000028</v>
      </c>
      <c r="G32" s="21">
        <f t="shared" si="13"/>
        <v>6942.25</v>
      </c>
      <c r="H32" s="19">
        <f t="shared" si="9"/>
        <v>4958.75</v>
      </c>
      <c r="I32" s="19">
        <f t="shared" si="14"/>
        <v>-4940.7880218048904</v>
      </c>
      <c r="J32" s="7">
        <f t="shared" si="10"/>
        <v>1389.1700105000007</v>
      </c>
      <c r="L32" s="5">
        <v>46066</v>
      </c>
      <c r="M32" s="1">
        <v>4200</v>
      </c>
      <c r="N32" s="1">
        <v>3200</v>
      </c>
      <c r="O32" s="6">
        <v>-6216.18802180489</v>
      </c>
      <c r="P32" s="7">
        <v>-699.63700000000063</v>
      </c>
      <c r="Q32" s="21">
        <f t="shared" si="15"/>
        <v>8330.7000000000007</v>
      </c>
      <c r="R32" s="19">
        <f t="shared" si="11"/>
        <v>6347.2</v>
      </c>
      <c r="S32" s="19">
        <f t="shared" si="16"/>
        <v>-6216.18802180489</v>
      </c>
      <c r="T32" s="7">
        <f t="shared" si="12"/>
        <v>-1387.7299895000012</v>
      </c>
    </row>
    <row r="33" spans="2:20" x14ac:dyDescent="0.3">
      <c r="B33" s="5">
        <v>46067</v>
      </c>
      <c r="C33" s="1">
        <v>3500</v>
      </c>
      <c r="D33" s="1">
        <v>2500</v>
      </c>
      <c r="E33" s="6">
        <v>-4940.7880218048904</v>
      </c>
      <c r="F33" s="7">
        <v>734.38400000000001</v>
      </c>
      <c r="G33" s="21">
        <f t="shared" si="13"/>
        <v>6942.25</v>
      </c>
      <c r="H33" s="19">
        <f t="shared" si="9"/>
        <v>4958.75</v>
      </c>
      <c r="I33" s="19">
        <f t="shared" si="14"/>
        <v>-4940.7880218048904</v>
      </c>
      <c r="J33" s="7">
        <f t="shared" si="10"/>
        <v>1456.650664</v>
      </c>
      <c r="L33" s="5">
        <v>46067</v>
      </c>
      <c r="M33" s="1">
        <v>4200</v>
      </c>
      <c r="N33" s="1">
        <v>3200</v>
      </c>
      <c r="O33" s="6">
        <v>-6216.18802180489</v>
      </c>
      <c r="P33" s="7">
        <v>-665.61600000000089</v>
      </c>
      <c r="Q33" s="21">
        <f t="shared" si="15"/>
        <v>8330.7000000000007</v>
      </c>
      <c r="R33" s="19">
        <f t="shared" si="11"/>
        <v>6347.2</v>
      </c>
      <c r="S33" s="19">
        <f t="shared" si="16"/>
        <v>-6216.18802180489</v>
      </c>
      <c r="T33" s="7">
        <f t="shared" si="12"/>
        <v>-1320.2493360000019</v>
      </c>
    </row>
    <row r="34" spans="2:20" x14ac:dyDescent="0.3">
      <c r="B34" s="8">
        <v>46068</v>
      </c>
      <c r="C34" s="9">
        <v>3500</v>
      </c>
      <c r="D34" s="9">
        <v>2500</v>
      </c>
      <c r="E34" s="10">
        <v>-4940.7880218048904</v>
      </c>
      <c r="F34" s="11">
        <v>920.90300000000025</v>
      </c>
      <c r="G34" s="22">
        <f t="shared" si="13"/>
        <v>6942.25</v>
      </c>
      <c r="H34" s="10">
        <f t="shared" si="9"/>
        <v>4958.75</v>
      </c>
      <c r="I34" s="10">
        <f t="shared" si="14"/>
        <v>-4940.7880218048904</v>
      </c>
      <c r="J34" s="11">
        <f t="shared" si="10"/>
        <v>1826.6111005000005</v>
      </c>
      <c r="L34" s="8">
        <v>46068</v>
      </c>
      <c r="M34" s="9">
        <v>4200</v>
      </c>
      <c r="N34" s="9">
        <v>3200</v>
      </c>
      <c r="O34" s="10">
        <v>-6216.18802180489</v>
      </c>
      <c r="P34" s="11">
        <v>-479.09700000000066</v>
      </c>
      <c r="Q34" s="22">
        <f t="shared" si="15"/>
        <v>8330.7000000000007</v>
      </c>
      <c r="R34" s="10">
        <f t="shared" si="11"/>
        <v>6347.2</v>
      </c>
      <c r="S34" s="10">
        <f t="shared" si="16"/>
        <v>-6216.18802180489</v>
      </c>
      <c r="T34" s="11">
        <f t="shared" si="12"/>
        <v>-950.28889950000132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  <ignoredErrors>
    <ignoredError sqref="I14 I15:I20 S14:S20 S28:S34 I28:I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2026-02-09T21:36:36Z</dcterms:modified>
</cp:coreProperties>
</file>