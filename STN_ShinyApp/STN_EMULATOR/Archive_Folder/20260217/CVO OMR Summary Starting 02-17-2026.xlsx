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217\"/>
    </mc:Choice>
  </mc:AlternateContent>
  <xr:revisionPtr revIDLastSave="0" documentId="13_ncr:1_{B0FBB2BE-4120-42C2-8D78-1F01A1630F07}" xr6:coauthVersionLast="47" xr6:coauthVersionMax="47" xr10:uidLastSave="{00000000-0000-0000-0000-000000000000}"/>
  <bookViews>
    <workbookView xWindow="38304" yWindow="0" windowWidth="15552" windowHeight="1665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</calcChain>
</file>

<file path=xl/sharedStrings.xml><?xml version="1.0" encoding="utf-8"?>
<sst xmlns="http://schemas.openxmlformats.org/spreadsheetml/2006/main" count="81" uniqueCount="17">
  <si>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</si>
  <si>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</si>
  <si>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</si>
  <si>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</si>
  <si>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</si>
  <si>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</si>
  <si>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</si>
  <si>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</si>
  <si>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</si>
  <si>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</si>
  <si>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Data as of 02/17/2026</t>
  </si>
  <si>
    <t>Estimate as of 02/17/2026</t>
  </si>
  <si>
    <t>Daily OMR less than -6500</t>
  </si>
  <si>
    <t>Conversion</t>
  </si>
  <si>
    <t>1 CFS = 1.9835 Acre-Feet per day</t>
  </si>
  <si>
    <t>AF</t>
  </si>
  <si>
    <t>Daily OMR less than -6250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</si>
</sst>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topLeftCell="I1" zoomScale="90" zoomScaleNormal="90" workbookViewId="0">
      <selection activeCell="Q35" sqref="Q35"/>
    </sheetView>
  </sheetViews>
  <sheetFormatPr defaultRowHeight="14.4" x14ac:dyDescent="0.3"/>
  <cols>
    <col min="1" max="1" width="12.6640625" customWidth="1"/>
    <col min="2" max="2" width="12.6640625" style="1" customWidth="1"/>
    <col min="3" max="30" width="12.6640625" customWidth="1"/>
  </cols>
  <sheetData>
    <row r="2" spans="2:20" x14ac:dyDescent="0.3">
      <c r="G2" s="17" t="s">
        <v>13</v>
      </c>
      <c r="H2" s="17"/>
    </row>
    <row r="3" spans="2:20" ht="39.6" x14ac:dyDescent="0.3">
      <c r="B3" t="s">
        <v>9</v>
      </c>
      <c r="G3" s="18" t="s">
        <v>14</v>
      </c>
      <c r="H3" s="19">
        <v>1.9835</v>
      </c>
    </row>
    <row r="4" spans="2:20" x14ac:dyDescent="0.3">
      <c r="B4"/>
    </row>
    <row r="5" spans="2:20" x14ac:dyDescent="0.3">
      <c r="B5" t="s">
        <v>10</v>
      </c>
    </row>
    <row r="7" spans="2:20" x14ac:dyDescent="0.3">
      <c r="B7" s="12" t="s">
        <v>11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J10" s="3"/>
      <c r="L10" s="2"/>
      <c r="P10" s="3"/>
      <c r="Q10" s="20"/>
      <c r="T10" s="3"/>
    </row>
    <row r="11" spans="2:20" x14ac:dyDescent="0.3">
      <c r="B11" s="2"/>
      <c r="C11" s="16" t="s">
        <v>0</v>
      </c>
      <c r="D11" s="16"/>
      <c r="F11" s="3"/>
      <c r="G11" s="20"/>
      <c r="J11" s="3"/>
      <c r="L11" s="2"/>
      <c r="M11" s="16" t="s">
        <v>0</v>
      </c>
      <c r="N11" s="16"/>
      <c r="P11" s="3"/>
      <c r="Q11" s="20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" t="s">
        <v>2</v>
      </c>
      <c r="I12" s="1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" t="s">
        <v>2</v>
      </c>
      <c r="S12" s="1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15</v>
      </c>
      <c r="H13" s="1" t="s">
        <v>15</v>
      </c>
      <c r="I13" s="1" t="s">
        <v>6</v>
      </c>
      <c r="J13" s="4" t="s">
        <v>15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15</v>
      </c>
      <c r="R13" s="1" t="s">
        <v>15</v>
      </c>
      <c r="S13" s="1" t="s">
        <v>6</v>
      </c>
      <c r="T13" s="4" t="s">
        <v>15</v>
      </c>
    </row>
    <row r="14" spans="2:20" x14ac:dyDescent="0.3">
      <c r="B14" s="5">
        <v>46070</v>
      </c>
      <c r="C14" s="1">
        <v>4200</v>
      </c>
      <c r="D14" s="1">
        <v>500</v>
      </c>
      <c r="E14" s="6">
        <v>-2965.5090848248046</v>
      </c>
      <c r="F14" s="7">
        <v>13674.924157465761</v>
      </c>
      <c r="G14" s="21">
        <f>C14*$H$3</f>
        <v>8330.7000000000007</v>
      </c>
      <c r="H14" s="6">
        <f t="shared" ref="H14:J20" si="0">D14*$H$3</f>
        <v>991.75</v>
      </c>
      <c r="I14" s="6">
        <f>E14</f>
        <v>-2965.5090848248046</v>
      </c>
      <c r="J14" s="7">
        <f t="shared" si="0"/>
        <v>27124.212066333337</v>
      </c>
      <c r="L14" s="5">
        <v>46070</v>
      </c>
      <c r="M14" s="1">
        <v>4200</v>
      </c>
      <c r="N14" s="1">
        <v>1000</v>
      </c>
      <c r="O14" s="6">
        <v>-3421.0090848248046</v>
      </c>
      <c r="P14" s="7">
        <v>13174.924157465761</v>
      </c>
      <c r="Q14" s="21">
        <f>M14*$H$3</f>
        <v>8330.7000000000007</v>
      </c>
      <c r="R14" s="6">
        <f t="shared" ref="R14:R20" si="1">N14*$H$3</f>
        <v>1983.5</v>
      </c>
      <c r="S14" s="6">
        <f>O14</f>
        <v>-3421.0090848248046</v>
      </c>
      <c r="T14" s="7">
        <f t="shared" ref="T14:T20" si="2">P14*$H$3</f>
        <v>26132.462066333337</v>
      </c>
    </row>
    <row r="15" spans="2:20" x14ac:dyDescent="0.3">
      <c r="B15" s="5">
        <v>46071</v>
      </c>
      <c r="C15" s="1">
        <v>4200</v>
      </c>
      <c r="D15" s="1">
        <v>500</v>
      </c>
      <c r="E15" s="6">
        <v>-2663.1270848248041</v>
      </c>
      <c r="F15" s="7">
        <v>15076.317157465761</v>
      </c>
      <c r="G15" s="21">
        <f t="shared" ref="G15:G20" si="3">C15*$H$3</f>
        <v>8330.7000000000007</v>
      </c>
      <c r="H15" s="6">
        <f t="shared" si="0"/>
        <v>991.75</v>
      </c>
      <c r="I15" s="6">
        <f t="shared" ref="I15:I20" si="4">E15</f>
        <v>-2663.1270848248041</v>
      </c>
      <c r="J15" s="7">
        <f t="shared" si="0"/>
        <v>29903.875081833336</v>
      </c>
      <c r="L15" s="5">
        <v>46071</v>
      </c>
      <c r="M15" s="1">
        <v>4200</v>
      </c>
      <c r="N15" s="1">
        <v>1400</v>
      </c>
      <c r="O15" s="6">
        <v>-3483.0270848248047</v>
      </c>
      <c r="P15" s="7">
        <v>14176.317157465761</v>
      </c>
      <c r="Q15" s="21">
        <f t="shared" ref="Q15:Q20" si="5">M15*$H$3</f>
        <v>8330.7000000000007</v>
      </c>
      <c r="R15" s="6">
        <f t="shared" si="1"/>
        <v>2776.9</v>
      </c>
      <c r="S15" s="6">
        <f t="shared" ref="S15:S20" si="6">O15</f>
        <v>-3483.0270848248047</v>
      </c>
      <c r="T15" s="7">
        <f t="shared" si="2"/>
        <v>28118.725081833338</v>
      </c>
    </row>
    <row r="16" spans="2:20" x14ac:dyDescent="0.3">
      <c r="B16" s="5">
        <v>46072</v>
      </c>
      <c r="C16" s="1">
        <v>2700</v>
      </c>
      <c r="D16" s="1">
        <v>2200</v>
      </c>
      <c r="E16" s="6">
        <v>-1975.3900848248049</v>
      </c>
      <c r="F16" s="7">
        <v>17553.301157465761</v>
      </c>
      <c r="G16" s="21">
        <f t="shared" si="3"/>
        <v>5355.45</v>
      </c>
      <c r="H16" s="6">
        <f t="shared" si="0"/>
        <v>4363.7</v>
      </c>
      <c r="I16" s="6">
        <f t="shared" si="4"/>
        <v>-1975.3900848248049</v>
      </c>
      <c r="J16" s="7">
        <f t="shared" si="0"/>
        <v>34816.972845833341</v>
      </c>
      <c r="L16" s="5">
        <v>46072</v>
      </c>
      <c r="M16" s="1">
        <v>4200</v>
      </c>
      <c r="N16" s="1">
        <v>2300</v>
      </c>
      <c r="O16" s="6">
        <v>-3432.9900848248044</v>
      </c>
      <c r="P16" s="7">
        <v>15953.301157465761</v>
      </c>
      <c r="Q16" s="21">
        <f t="shared" si="5"/>
        <v>8330.7000000000007</v>
      </c>
      <c r="R16" s="6">
        <f t="shared" si="1"/>
        <v>4562.05</v>
      </c>
      <c r="S16" s="6">
        <f t="shared" si="6"/>
        <v>-3432.9900848248044</v>
      </c>
      <c r="T16" s="7">
        <f t="shared" si="2"/>
        <v>31643.372845833339</v>
      </c>
    </row>
    <row r="17" spans="2:20" x14ac:dyDescent="0.3">
      <c r="B17" s="5">
        <v>46073</v>
      </c>
      <c r="C17" s="1">
        <v>2700</v>
      </c>
      <c r="D17" s="1">
        <v>3100</v>
      </c>
      <c r="E17" s="6">
        <v>-1984.6990848248047</v>
      </c>
      <c r="F17" s="7">
        <v>17893.054157465762</v>
      </c>
      <c r="G17" s="21">
        <f t="shared" si="3"/>
        <v>5355.45</v>
      </c>
      <c r="H17" s="6">
        <f t="shared" si="0"/>
        <v>6148.85</v>
      </c>
      <c r="I17" s="6">
        <f t="shared" si="4"/>
        <v>-1984.6990848248047</v>
      </c>
      <c r="J17" s="7">
        <f t="shared" si="0"/>
        <v>35490.872921333343</v>
      </c>
      <c r="L17" s="5">
        <v>46073</v>
      </c>
      <c r="M17" s="1">
        <v>4200</v>
      </c>
      <c r="N17" s="1">
        <v>3200</v>
      </c>
      <c r="O17" s="6">
        <v>-3442.299084824805</v>
      </c>
      <c r="P17" s="7">
        <v>16293.054157465762</v>
      </c>
      <c r="Q17" s="21">
        <f t="shared" si="5"/>
        <v>8330.7000000000007</v>
      </c>
      <c r="R17" s="6">
        <f t="shared" si="1"/>
        <v>6347.2</v>
      </c>
      <c r="S17" s="6">
        <f t="shared" si="6"/>
        <v>-3442.299084824805</v>
      </c>
      <c r="T17" s="7">
        <f t="shared" si="2"/>
        <v>32317.27292133334</v>
      </c>
    </row>
    <row r="18" spans="2:20" x14ac:dyDescent="0.3">
      <c r="B18" s="5">
        <v>46074</v>
      </c>
      <c r="C18" s="1">
        <v>2700</v>
      </c>
      <c r="D18" s="1">
        <v>2700</v>
      </c>
      <c r="E18" s="6">
        <v>-1933.5975848248049</v>
      </c>
      <c r="F18" s="7">
        <v>15010.78592597261</v>
      </c>
      <c r="G18" s="21">
        <f t="shared" si="3"/>
        <v>5355.45</v>
      </c>
      <c r="H18" s="6">
        <f t="shared" si="0"/>
        <v>5355.45</v>
      </c>
      <c r="I18" s="6">
        <f t="shared" si="4"/>
        <v>-1933.5975848248049</v>
      </c>
      <c r="J18" s="7">
        <f t="shared" si="0"/>
        <v>29773.893884166671</v>
      </c>
      <c r="L18" s="5">
        <v>46074</v>
      </c>
      <c r="M18" s="1">
        <v>4200</v>
      </c>
      <c r="N18" s="1">
        <v>2900</v>
      </c>
      <c r="O18" s="6">
        <v>-3482.2975848248047</v>
      </c>
      <c r="P18" s="7">
        <v>13310.785925972608</v>
      </c>
      <c r="Q18" s="21">
        <f t="shared" si="5"/>
        <v>8330.7000000000007</v>
      </c>
      <c r="R18" s="6">
        <f t="shared" si="1"/>
        <v>5752.1500000000005</v>
      </c>
      <c r="S18" s="6">
        <f t="shared" si="6"/>
        <v>-3482.2975848248047</v>
      </c>
      <c r="T18" s="7">
        <f t="shared" si="2"/>
        <v>26401.943884166671</v>
      </c>
    </row>
    <row r="19" spans="2:20" x14ac:dyDescent="0.3">
      <c r="B19" s="5">
        <v>46075</v>
      </c>
      <c r="C19" s="1">
        <v>2700</v>
      </c>
      <c r="D19" s="1">
        <v>2900</v>
      </c>
      <c r="E19" s="6">
        <v>-1947.1795848248048</v>
      </c>
      <c r="F19" s="7">
        <v>7802.607</v>
      </c>
      <c r="G19" s="21">
        <f t="shared" si="3"/>
        <v>5355.45</v>
      </c>
      <c r="H19" s="6">
        <f t="shared" si="0"/>
        <v>5752.1500000000005</v>
      </c>
      <c r="I19" s="6">
        <f t="shared" si="4"/>
        <v>-1947.1795848248048</v>
      </c>
      <c r="J19" s="7">
        <f t="shared" si="0"/>
        <v>15476.4709845</v>
      </c>
      <c r="L19" s="5">
        <v>46075</v>
      </c>
      <c r="M19" s="1">
        <v>4200</v>
      </c>
      <c r="N19" s="1">
        <v>3000</v>
      </c>
      <c r="O19" s="6">
        <v>-3404.7795848248052</v>
      </c>
      <c r="P19" s="7">
        <v>6202.607</v>
      </c>
      <c r="Q19" s="21">
        <f t="shared" si="5"/>
        <v>8330.7000000000007</v>
      </c>
      <c r="R19" s="6">
        <f t="shared" si="1"/>
        <v>5950.5</v>
      </c>
      <c r="S19" s="6">
        <f t="shared" si="6"/>
        <v>-3404.7795848248052</v>
      </c>
      <c r="T19" s="7">
        <f t="shared" si="2"/>
        <v>12302.870984499999</v>
      </c>
    </row>
    <row r="20" spans="2:20" x14ac:dyDescent="0.3">
      <c r="B20" s="8">
        <v>46076</v>
      </c>
      <c r="C20" s="9">
        <v>2700</v>
      </c>
      <c r="D20" s="9">
        <v>2100</v>
      </c>
      <c r="E20" s="10">
        <v>-1904.1555848248045</v>
      </c>
      <c r="F20" s="11">
        <v>6874.2230000000009</v>
      </c>
      <c r="G20" s="22">
        <f t="shared" si="3"/>
        <v>5355.45</v>
      </c>
      <c r="H20" s="10">
        <f t="shared" si="0"/>
        <v>4165.3500000000004</v>
      </c>
      <c r="I20" s="10">
        <f t="shared" si="4"/>
        <v>-1904.1555848248045</v>
      </c>
      <c r="J20" s="11">
        <f t="shared" si="0"/>
        <v>13635.021320500002</v>
      </c>
      <c r="L20" s="8">
        <v>46076</v>
      </c>
      <c r="M20" s="9">
        <v>4200</v>
      </c>
      <c r="N20" s="9">
        <v>2300</v>
      </c>
      <c r="O20" s="10">
        <v>-3452.8555848248043</v>
      </c>
      <c r="P20" s="11">
        <v>5174.223</v>
      </c>
      <c r="Q20" s="22">
        <f t="shared" si="5"/>
        <v>8330.7000000000007</v>
      </c>
      <c r="R20" s="10">
        <f t="shared" si="1"/>
        <v>4562.05</v>
      </c>
      <c r="S20" s="10">
        <f t="shared" si="6"/>
        <v>-3452.8555848248043</v>
      </c>
      <c r="T20" s="11">
        <f t="shared" si="2"/>
        <v>10263.071320499999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12</v>
      </c>
      <c r="M23" s="14"/>
      <c r="N23" s="14"/>
      <c r="O23" s="14"/>
      <c r="P23" s="15"/>
      <c r="Q23" s="13" t="s">
        <v>16</v>
      </c>
      <c r="R23" s="14"/>
      <c r="S23" s="14"/>
      <c r="T23" s="15"/>
    </row>
    <row r="24" spans="2:20" x14ac:dyDescent="0.3">
      <c r="B24" s="2"/>
      <c r="F24" s="3"/>
      <c r="G24" s="20"/>
      <c r="J24" s="3"/>
      <c r="L24" s="2"/>
      <c r="P24" s="3"/>
      <c r="Q24" s="20"/>
      <c r="T24" s="3"/>
    </row>
    <row r="25" spans="2:20" x14ac:dyDescent="0.3">
      <c r="B25" s="2"/>
      <c r="C25" s="16" t="s">
        <v>0</v>
      </c>
      <c r="D25" s="16"/>
      <c r="F25" s="3"/>
      <c r="G25" s="20"/>
      <c r="J25" s="3"/>
      <c r="L25" s="2"/>
      <c r="M25" s="16" t="s">
        <v>0</v>
      </c>
      <c r="N25" s="16"/>
      <c r="P25" s="3"/>
      <c r="Q25" s="20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" t="s">
        <v>2</v>
      </c>
      <c r="I26" s="1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" t="s">
        <v>2</v>
      </c>
      <c r="S26" s="1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15</v>
      </c>
      <c r="H27" s="1" t="s">
        <v>15</v>
      </c>
      <c r="I27" s="1" t="s">
        <v>6</v>
      </c>
      <c r="J27" s="4" t="s">
        <v>15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15</v>
      </c>
      <c r="R27" s="1" t="s">
        <v>15</v>
      </c>
      <c r="S27" s="1" t="s">
        <v>6</v>
      </c>
      <c r="T27" s="4" t="s">
        <v>15</v>
      </c>
    </row>
    <row r="28" spans="2:20" x14ac:dyDescent="0.3">
      <c r="B28" s="5">
        <v>46070</v>
      </c>
      <c r="C28" s="1">
        <v>4200</v>
      </c>
      <c r="D28" s="1">
        <v>2700</v>
      </c>
      <c r="E28" s="6">
        <v>-4969.7090848248054</v>
      </c>
      <c r="F28" s="7">
        <v>11474.924157465761</v>
      </c>
      <c r="G28" s="21">
        <f>C28*$H$3</f>
        <v>8330.7000000000007</v>
      </c>
      <c r="H28" s="6">
        <f t="shared" ref="H28:H34" si="7">D28*$H$3</f>
        <v>5355.45</v>
      </c>
      <c r="I28" s="6">
        <f>E28</f>
        <v>-4969.7090848248054</v>
      </c>
      <c r="J28" s="7">
        <f t="shared" ref="J28:J34" si="8">F28*$H$3</f>
        <v>22760.512066333336</v>
      </c>
      <c r="L28" s="5">
        <v>46070</v>
      </c>
      <c r="M28" s="1">
        <v>4200</v>
      </c>
      <c r="N28" s="1">
        <v>4300</v>
      </c>
      <c r="O28" s="6">
        <v>-6427.3090848248057</v>
      </c>
      <c r="P28" s="7">
        <v>9874.9241574657608</v>
      </c>
      <c r="Q28" s="21">
        <f>M28*$H$3</f>
        <v>8330.7000000000007</v>
      </c>
      <c r="R28" s="6">
        <f t="shared" ref="R28:R34" si="9">N28*$H$3</f>
        <v>8529.0499999999993</v>
      </c>
      <c r="S28" s="6">
        <f>O28</f>
        <v>-6427.3090848248057</v>
      </c>
      <c r="T28" s="7">
        <f t="shared" ref="T28:T34" si="10">P28*$H$3</f>
        <v>19586.912066333338</v>
      </c>
    </row>
    <row r="29" spans="2:20" x14ac:dyDescent="0.3">
      <c r="B29" s="5">
        <v>46071</v>
      </c>
      <c r="C29" s="1">
        <v>4200</v>
      </c>
      <c r="D29" s="1">
        <v>3000</v>
      </c>
      <c r="E29" s="6">
        <v>-4940.6270848248041</v>
      </c>
      <c r="F29" s="7">
        <v>12576.317157465761</v>
      </c>
      <c r="G29" s="21">
        <f t="shared" ref="G29:G34" si="11">C29*$H$3</f>
        <v>8330.7000000000007</v>
      </c>
      <c r="H29" s="6">
        <f t="shared" si="7"/>
        <v>5950.5</v>
      </c>
      <c r="I29" s="6">
        <f t="shared" ref="I29:I34" si="12">E29</f>
        <v>-4940.6270848248041</v>
      </c>
      <c r="J29" s="7">
        <f t="shared" si="8"/>
        <v>24945.125081833336</v>
      </c>
      <c r="L29" s="5">
        <v>46071</v>
      </c>
      <c r="M29" s="1">
        <v>4200</v>
      </c>
      <c r="N29" s="1">
        <v>4700</v>
      </c>
      <c r="O29" s="6">
        <v>-6489.3270848248058</v>
      </c>
      <c r="P29" s="7">
        <v>10876.317157465761</v>
      </c>
      <c r="Q29" s="21">
        <f t="shared" ref="Q29:Q34" si="13">M29*$H$3</f>
        <v>8330.7000000000007</v>
      </c>
      <c r="R29" s="6">
        <f t="shared" si="9"/>
        <v>9322.4500000000007</v>
      </c>
      <c r="S29" s="6">
        <f t="shared" ref="S29:S34" si="14">O29</f>
        <v>-6489.3270848248058</v>
      </c>
      <c r="T29" s="7">
        <f t="shared" si="10"/>
        <v>21573.175081833338</v>
      </c>
    </row>
    <row r="30" spans="2:20" x14ac:dyDescent="0.3">
      <c r="B30" s="5">
        <v>46072</v>
      </c>
      <c r="C30" s="1">
        <v>4200</v>
      </c>
      <c r="D30" s="1">
        <v>3900</v>
      </c>
      <c r="E30" s="6">
        <v>-4890.5900848248057</v>
      </c>
      <c r="F30" s="7">
        <v>14353.301157465761</v>
      </c>
      <c r="G30" s="21">
        <f t="shared" si="11"/>
        <v>8330.7000000000007</v>
      </c>
      <c r="H30" s="6">
        <f t="shared" si="7"/>
        <v>7735.6500000000005</v>
      </c>
      <c r="I30" s="6">
        <f t="shared" si="12"/>
        <v>-4890.5900848248057</v>
      </c>
      <c r="J30" s="7">
        <f t="shared" si="8"/>
        <v>28469.772845833337</v>
      </c>
      <c r="L30" s="5">
        <v>46072</v>
      </c>
      <c r="M30" s="1">
        <v>4200</v>
      </c>
      <c r="N30" s="1">
        <v>5600</v>
      </c>
      <c r="O30" s="6">
        <v>-6439.2900848248055</v>
      </c>
      <c r="P30" s="7">
        <v>12653.301157465759</v>
      </c>
      <c r="Q30" s="21">
        <f t="shared" si="13"/>
        <v>8330.7000000000007</v>
      </c>
      <c r="R30" s="6">
        <f t="shared" si="9"/>
        <v>11107.6</v>
      </c>
      <c r="S30" s="6">
        <f t="shared" si="14"/>
        <v>-6439.2900848248055</v>
      </c>
      <c r="T30" s="7">
        <f t="shared" si="10"/>
        <v>25097.822845833336</v>
      </c>
    </row>
    <row r="31" spans="2:20" x14ac:dyDescent="0.3">
      <c r="B31" s="5">
        <v>46073</v>
      </c>
      <c r="C31" s="1">
        <v>4200</v>
      </c>
      <c r="D31" s="1">
        <v>4900</v>
      </c>
      <c r="E31" s="6">
        <v>-4990.9990848248053</v>
      </c>
      <c r="F31" s="7">
        <v>14593.054157465764</v>
      </c>
      <c r="G31" s="21">
        <f t="shared" si="11"/>
        <v>8330.7000000000007</v>
      </c>
      <c r="H31" s="6">
        <f t="shared" si="7"/>
        <v>9719.15</v>
      </c>
      <c r="I31" s="6">
        <f t="shared" si="12"/>
        <v>-4990.9990848248053</v>
      </c>
      <c r="J31" s="7">
        <f t="shared" si="8"/>
        <v>28945.322921333343</v>
      </c>
      <c r="L31" s="5">
        <v>46073</v>
      </c>
      <c r="M31" s="1">
        <v>4200</v>
      </c>
      <c r="N31" s="1">
        <v>6500</v>
      </c>
      <c r="O31" s="6">
        <v>-6448.5990848248057</v>
      </c>
      <c r="P31" s="7">
        <v>12993.054157465762</v>
      </c>
      <c r="Q31" s="21">
        <f t="shared" si="13"/>
        <v>8330.7000000000007</v>
      </c>
      <c r="R31" s="6">
        <f t="shared" si="9"/>
        <v>12892.75</v>
      </c>
      <c r="S31" s="6">
        <f t="shared" si="14"/>
        <v>-6448.5990848248057</v>
      </c>
      <c r="T31" s="7">
        <f t="shared" si="10"/>
        <v>25771.722921333338</v>
      </c>
    </row>
    <row r="32" spans="2:20" x14ac:dyDescent="0.3">
      <c r="B32" s="5">
        <v>46074</v>
      </c>
      <c r="C32" s="1">
        <v>4200</v>
      </c>
      <c r="D32" s="1">
        <v>4500</v>
      </c>
      <c r="E32" s="6">
        <v>-4939.8975848248065</v>
      </c>
      <c r="F32" s="7">
        <v>11710.78592597261</v>
      </c>
      <c r="G32" s="21">
        <f t="shared" si="11"/>
        <v>8330.7000000000007</v>
      </c>
      <c r="H32" s="6">
        <f t="shared" si="7"/>
        <v>8925.75</v>
      </c>
      <c r="I32" s="6">
        <f t="shared" si="12"/>
        <v>-4939.8975848248065</v>
      </c>
      <c r="J32" s="7">
        <f t="shared" si="8"/>
        <v>23228.343884166672</v>
      </c>
      <c r="L32" s="5">
        <v>46074</v>
      </c>
      <c r="M32" s="1">
        <v>4200</v>
      </c>
      <c r="N32" s="1">
        <v>6200</v>
      </c>
      <c r="O32" s="6">
        <v>-6488.5975848248054</v>
      </c>
      <c r="P32" s="7">
        <v>10010.78592597261</v>
      </c>
      <c r="Q32" s="21">
        <f t="shared" si="13"/>
        <v>8330.7000000000007</v>
      </c>
      <c r="R32" s="6">
        <f t="shared" si="9"/>
        <v>12297.7</v>
      </c>
      <c r="S32" s="6">
        <f t="shared" si="14"/>
        <v>-6488.5975848248054</v>
      </c>
      <c r="T32" s="7">
        <f t="shared" si="10"/>
        <v>19856.393884166671</v>
      </c>
    </row>
    <row r="33" spans="2:20" x14ac:dyDescent="0.3">
      <c r="B33" s="5">
        <v>46075</v>
      </c>
      <c r="C33" s="1">
        <v>4200</v>
      </c>
      <c r="D33" s="1">
        <v>4700</v>
      </c>
      <c r="E33" s="6">
        <v>-4953.479584824805</v>
      </c>
      <c r="F33" s="7">
        <v>4502.607</v>
      </c>
      <c r="G33" s="21">
        <f t="shared" si="11"/>
        <v>8330.7000000000007</v>
      </c>
      <c r="H33" s="6">
        <f t="shared" si="7"/>
        <v>9322.4500000000007</v>
      </c>
      <c r="I33" s="6">
        <f t="shared" si="12"/>
        <v>-4953.479584824805</v>
      </c>
      <c r="J33" s="7">
        <f t="shared" si="8"/>
        <v>8930.9209845000005</v>
      </c>
      <c r="L33" s="5">
        <v>46075</v>
      </c>
      <c r="M33" s="1">
        <v>4200</v>
      </c>
      <c r="N33" s="1">
        <v>6300</v>
      </c>
      <c r="O33" s="6">
        <v>-6411.0795848248054</v>
      </c>
      <c r="P33" s="7">
        <v>2902.607</v>
      </c>
      <c r="Q33" s="21">
        <f t="shared" si="13"/>
        <v>8330.7000000000007</v>
      </c>
      <c r="R33" s="6">
        <f t="shared" si="9"/>
        <v>12496.050000000001</v>
      </c>
      <c r="S33" s="6">
        <f t="shared" si="14"/>
        <v>-6411.0795848248054</v>
      </c>
      <c r="T33" s="7">
        <f t="shared" si="10"/>
        <v>5757.3209845000001</v>
      </c>
    </row>
    <row r="34" spans="2:20" x14ac:dyDescent="0.3">
      <c r="B34" s="8">
        <v>46076</v>
      </c>
      <c r="C34" s="9">
        <v>4200</v>
      </c>
      <c r="D34" s="9">
        <v>3900</v>
      </c>
      <c r="E34" s="10">
        <v>-4910.4555848248056</v>
      </c>
      <c r="F34" s="11">
        <v>3574.222999999999</v>
      </c>
      <c r="G34" s="22">
        <f t="shared" si="11"/>
        <v>8330.7000000000007</v>
      </c>
      <c r="H34" s="10">
        <f t="shared" si="7"/>
        <v>7735.6500000000005</v>
      </c>
      <c r="I34" s="10">
        <f t="shared" si="12"/>
        <v>-4910.4555848248056</v>
      </c>
      <c r="J34" s="11">
        <f t="shared" si="8"/>
        <v>7089.471320499998</v>
      </c>
      <c r="L34" s="8">
        <v>46076</v>
      </c>
      <c r="M34" s="9">
        <v>4200</v>
      </c>
      <c r="N34" s="9">
        <v>5600</v>
      </c>
      <c r="O34" s="10">
        <v>-6459.1555848248063</v>
      </c>
      <c r="P34" s="11">
        <v>1874.2229999999981</v>
      </c>
      <c r="Q34" s="22">
        <f t="shared" si="13"/>
        <v>8330.7000000000007</v>
      </c>
      <c r="R34" s="10">
        <f t="shared" si="9"/>
        <v>11107.6</v>
      </c>
      <c r="S34" s="10">
        <f t="shared" si="14"/>
        <v>-6459.1555848248063</v>
      </c>
      <c r="T34" s="11">
        <f t="shared" si="10"/>
        <v>3717.5213204999964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2026-02-18T18:05:07Z</dcterms:modified>
</cp:coreProperties>
</file>