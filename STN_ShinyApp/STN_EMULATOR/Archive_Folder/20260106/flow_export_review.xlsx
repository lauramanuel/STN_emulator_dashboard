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Archive\DataExternal_archive\20260106\"/>
    </mc:Choice>
  </mc:AlternateContent>
  <xr:revisionPtr revIDLastSave="0" documentId="13_ncr:1_{505D4ECD-818C-4070-A03C-9884D3807958}" xr6:coauthVersionLast="47" xr6:coauthVersionMax="47" xr10:uidLastSave="{00000000-0000-0000-0000-000000000000}"/>
  <bookViews>
    <workbookView xWindow="-96" yWindow="-96" windowWidth="23232" windowHeight="13872" tabRatio="812" xr2:uid="{07475B08-0D99-490C-B51C-831472BE29DB}"/>
  </bookViews>
  <sheets>
    <sheet name="plot_example" sheetId="2" r:id="rId1"/>
    <sheet name="01_05_OMRI -2000" sheetId="6" r:id="rId2"/>
    <sheet name="01_05_OMRI -3500" sheetId="4" r:id="rId3"/>
    <sheet name="01_05_OMRI -5000" sheetId="5" r:id="rId4"/>
    <sheet name="01_05_OMRI -6250" sheetId="3" r:id="rId5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3" i="2" l="1"/>
  <c r="AA44" i="2"/>
  <c r="AA45" i="2"/>
  <c r="AA46" i="2"/>
  <c r="AA47" i="2"/>
  <c r="AA48" i="2"/>
  <c r="AA49" i="2"/>
  <c r="AA50" i="2"/>
  <c r="AA51" i="2"/>
  <c r="AA52" i="2"/>
  <c r="AA53" i="2"/>
  <c r="AA42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3" i="2"/>
  <c r="AM3" i="2" s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3" i="2"/>
  <c r="AD3" i="2" s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3" i="2"/>
  <c r="U3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3" i="2"/>
  <c r="A44" i="6"/>
  <c r="A45" i="6" s="1"/>
  <c r="A46" i="6" l="1"/>
  <c r="A47" i="6" s="1"/>
  <c r="A48" i="6" s="1"/>
  <c r="A49" i="6" s="1"/>
  <c r="A50" i="6" s="1"/>
  <c r="AO20" i="2"/>
  <c r="AL20" i="2"/>
  <c r="E20" i="2"/>
  <c r="E21" i="2"/>
  <c r="AO22" i="2"/>
  <c r="B22" i="2"/>
  <c r="AO23" i="2"/>
  <c r="B23" i="2"/>
  <c r="AL24" i="2"/>
  <c r="AL19" i="2"/>
  <c r="AL22" i="2"/>
  <c r="E23" i="2"/>
  <c r="AO24" i="2"/>
  <c r="E19" i="2"/>
  <c r="AL21" i="2"/>
  <c r="B21" i="2"/>
  <c r="E22" i="2"/>
  <c r="AL23" i="2"/>
  <c r="E24" i="2"/>
  <c r="AO19" i="2"/>
  <c r="B19" i="2"/>
  <c r="B20" i="2"/>
  <c r="B24" i="2"/>
  <c r="AO2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C6" i="2" l="1"/>
  <c r="D11" i="2"/>
  <c r="D12" i="2"/>
  <c r="D13" i="2"/>
  <c r="D15" i="2"/>
  <c r="D16" i="2"/>
  <c r="D17" i="2"/>
  <c r="D18" i="2"/>
  <c r="D20" i="2"/>
  <c r="D21" i="2"/>
  <c r="D22" i="2"/>
  <c r="D23" i="2"/>
  <c r="D24" i="2"/>
  <c r="C8" i="2"/>
  <c r="D8" i="2" s="1"/>
  <c r="C3" i="2"/>
  <c r="A4" i="2"/>
  <c r="A5" i="2" s="1"/>
  <c r="A6" i="2" s="1"/>
  <c r="A7" i="2" s="1"/>
  <c r="A8" i="2" s="1"/>
  <c r="A9" i="2" s="1"/>
  <c r="F3" i="2"/>
  <c r="I3" i="2"/>
  <c r="L3" i="2"/>
  <c r="O3" i="2"/>
  <c r="R3" i="2"/>
  <c r="X3" i="2"/>
  <c r="AA3" i="2"/>
  <c r="AG3" i="2"/>
  <c r="AJ3" i="2"/>
  <c r="AP3" i="2"/>
  <c r="AS3" i="2"/>
  <c r="AT3" i="2"/>
  <c r="AU3" i="2"/>
  <c r="AV3" i="2"/>
  <c r="C4" i="2"/>
  <c r="F4" i="2"/>
  <c r="I4" i="2"/>
  <c r="L4" i="2"/>
  <c r="O4" i="2"/>
  <c r="R4" i="2"/>
  <c r="U4" i="2"/>
  <c r="X4" i="2"/>
  <c r="AA4" i="2"/>
  <c r="AD4" i="2"/>
  <c r="AG4" i="2"/>
  <c r="AJ4" i="2"/>
  <c r="AM4" i="2"/>
  <c r="AP4" i="2"/>
  <c r="AS4" i="2"/>
  <c r="AT4" i="2"/>
  <c r="AU4" i="2"/>
  <c r="AV4" i="2"/>
  <c r="C5" i="2"/>
  <c r="F5" i="2"/>
  <c r="I5" i="2"/>
  <c r="L5" i="2"/>
  <c r="O5" i="2"/>
  <c r="R5" i="2"/>
  <c r="U5" i="2"/>
  <c r="X5" i="2"/>
  <c r="AA5" i="2"/>
  <c r="AD5" i="2"/>
  <c r="AG5" i="2"/>
  <c r="AJ5" i="2"/>
  <c r="AM5" i="2"/>
  <c r="AP5" i="2"/>
  <c r="AS5" i="2"/>
  <c r="AT5" i="2"/>
  <c r="AU5" i="2"/>
  <c r="AV5" i="2"/>
  <c r="F6" i="2"/>
  <c r="I6" i="2"/>
  <c r="L6" i="2"/>
  <c r="O6" i="2"/>
  <c r="R6" i="2"/>
  <c r="U6" i="2"/>
  <c r="X6" i="2"/>
  <c r="AA6" i="2"/>
  <c r="AD6" i="2"/>
  <c r="AG6" i="2"/>
  <c r="AJ6" i="2"/>
  <c r="AM6" i="2"/>
  <c r="AP6" i="2"/>
  <c r="AS6" i="2"/>
  <c r="AT6" i="2"/>
  <c r="AU6" i="2"/>
  <c r="AV6" i="2"/>
  <c r="C7" i="2"/>
  <c r="F7" i="2"/>
  <c r="I7" i="2"/>
  <c r="L7" i="2"/>
  <c r="O7" i="2"/>
  <c r="R7" i="2"/>
  <c r="U7" i="2"/>
  <c r="X7" i="2"/>
  <c r="AA7" i="2"/>
  <c r="AD7" i="2"/>
  <c r="AG7" i="2"/>
  <c r="AJ7" i="2"/>
  <c r="AM7" i="2"/>
  <c r="AP7" i="2"/>
  <c r="AS7" i="2"/>
  <c r="AT7" i="2"/>
  <c r="AU7" i="2"/>
  <c r="AV7" i="2"/>
  <c r="F8" i="2"/>
  <c r="I8" i="2"/>
  <c r="J8" i="2"/>
  <c r="L8" i="2"/>
  <c r="M8" i="2"/>
  <c r="O8" i="2"/>
  <c r="P8" i="2"/>
  <c r="R8" i="2"/>
  <c r="S8" i="2"/>
  <c r="U8" i="2"/>
  <c r="V8" i="2"/>
  <c r="X8" i="2"/>
  <c r="Y8" i="2"/>
  <c r="AA8" i="2"/>
  <c r="AB8" i="2"/>
  <c r="AD8" i="2"/>
  <c r="AE8" i="2"/>
  <c r="AG8" i="2"/>
  <c r="AH8" i="2"/>
  <c r="AJ8" i="2"/>
  <c r="AK8" i="2"/>
  <c r="AM8" i="2"/>
  <c r="AN8" i="2"/>
  <c r="AP8" i="2"/>
  <c r="AQ8" i="2"/>
  <c r="AS8" i="2"/>
  <c r="AT8" i="2"/>
  <c r="AU8" i="2"/>
  <c r="AV8" i="2"/>
  <c r="D9" i="2"/>
  <c r="G9" i="2"/>
  <c r="J9" i="2"/>
  <c r="M9" i="2"/>
  <c r="P9" i="2"/>
  <c r="S9" i="2"/>
  <c r="V9" i="2"/>
  <c r="Y9" i="2"/>
  <c r="AB9" i="2"/>
  <c r="AE9" i="2"/>
  <c r="AH9" i="2"/>
  <c r="AK9" i="2"/>
  <c r="AN9" i="2"/>
  <c r="AQ9" i="2"/>
  <c r="AS9" i="2"/>
  <c r="AT9" i="2"/>
  <c r="AU9" i="2"/>
  <c r="AV9" i="2"/>
  <c r="D10" i="2"/>
  <c r="G10" i="2"/>
  <c r="J10" i="2"/>
  <c r="M10" i="2"/>
  <c r="P10" i="2"/>
  <c r="S10" i="2"/>
  <c r="V10" i="2"/>
  <c r="Y10" i="2"/>
  <c r="AB10" i="2"/>
  <c r="AE10" i="2"/>
  <c r="AH10" i="2"/>
  <c r="AK10" i="2"/>
  <c r="AN10" i="2"/>
  <c r="AQ10" i="2"/>
  <c r="AS10" i="2"/>
  <c r="AT10" i="2"/>
  <c r="AU10" i="2"/>
  <c r="AV10" i="2"/>
  <c r="G11" i="2"/>
  <c r="J11" i="2"/>
  <c r="M11" i="2"/>
  <c r="P11" i="2"/>
  <c r="S11" i="2"/>
  <c r="V11" i="2"/>
  <c r="Y11" i="2"/>
  <c r="AB11" i="2"/>
  <c r="AE11" i="2"/>
  <c r="AH11" i="2"/>
  <c r="AK11" i="2"/>
  <c r="AN11" i="2"/>
  <c r="AQ11" i="2"/>
  <c r="AS11" i="2"/>
  <c r="AT11" i="2"/>
  <c r="AU11" i="2"/>
  <c r="AV11" i="2"/>
  <c r="G12" i="2"/>
  <c r="J12" i="2"/>
  <c r="M12" i="2"/>
  <c r="P12" i="2"/>
  <c r="S12" i="2"/>
  <c r="V12" i="2"/>
  <c r="Y12" i="2"/>
  <c r="AB12" i="2"/>
  <c r="AE12" i="2"/>
  <c r="AH12" i="2"/>
  <c r="AK12" i="2"/>
  <c r="AN12" i="2"/>
  <c r="AQ12" i="2"/>
  <c r="AS12" i="2"/>
  <c r="AT12" i="2"/>
  <c r="AU12" i="2"/>
  <c r="AV12" i="2"/>
  <c r="G13" i="2"/>
  <c r="J13" i="2"/>
  <c r="M13" i="2"/>
  <c r="P13" i="2"/>
  <c r="S13" i="2"/>
  <c r="V13" i="2"/>
  <c r="Y13" i="2"/>
  <c r="AB13" i="2"/>
  <c r="AE13" i="2"/>
  <c r="AH13" i="2"/>
  <c r="AK13" i="2"/>
  <c r="AN13" i="2"/>
  <c r="AQ13" i="2"/>
  <c r="AS13" i="2"/>
  <c r="AT13" i="2"/>
  <c r="AU13" i="2"/>
  <c r="AV13" i="2"/>
  <c r="D14" i="2"/>
  <c r="G14" i="2"/>
  <c r="J14" i="2"/>
  <c r="M14" i="2"/>
  <c r="P14" i="2"/>
  <c r="S14" i="2"/>
  <c r="V14" i="2"/>
  <c r="Y14" i="2"/>
  <c r="AB14" i="2"/>
  <c r="AE14" i="2"/>
  <c r="AH14" i="2"/>
  <c r="AK14" i="2"/>
  <c r="AN14" i="2"/>
  <c r="AQ14" i="2"/>
  <c r="AS14" i="2"/>
  <c r="AT14" i="2"/>
  <c r="AU14" i="2"/>
  <c r="AV14" i="2"/>
  <c r="G15" i="2"/>
  <c r="J15" i="2"/>
  <c r="M15" i="2"/>
  <c r="P15" i="2"/>
  <c r="S15" i="2"/>
  <c r="V15" i="2"/>
  <c r="Y15" i="2"/>
  <c r="AB15" i="2"/>
  <c r="AE15" i="2"/>
  <c r="AH15" i="2"/>
  <c r="AK15" i="2"/>
  <c r="AN15" i="2"/>
  <c r="AQ15" i="2"/>
  <c r="AS15" i="2"/>
  <c r="AT15" i="2"/>
  <c r="AU15" i="2"/>
  <c r="AV15" i="2"/>
  <c r="G16" i="2"/>
  <c r="J16" i="2"/>
  <c r="M16" i="2"/>
  <c r="P16" i="2"/>
  <c r="S16" i="2"/>
  <c r="V16" i="2"/>
  <c r="Y16" i="2"/>
  <c r="AB16" i="2"/>
  <c r="AE16" i="2"/>
  <c r="AH16" i="2"/>
  <c r="AK16" i="2"/>
  <c r="AN16" i="2"/>
  <c r="AQ16" i="2"/>
  <c r="AS16" i="2"/>
  <c r="AT16" i="2"/>
  <c r="AU16" i="2"/>
  <c r="AV16" i="2"/>
  <c r="G17" i="2"/>
  <c r="J17" i="2"/>
  <c r="M17" i="2"/>
  <c r="P17" i="2"/>
  <c r="S17" i="2"/>
  <c r="V17" i="2"/>
  <c r="Y17" i="2"/>
  <c r="AB17" i="2"/>
  <c r="AE17" i="2"/>
  <c r="AH17" i="2"/>
  <c r="AK17" i="2"/>
  <c r="AN17" i="2"/>
  <c r="AQ17" i="2"/>
  <c r="AS17" i="2"/>
  <c r="AT17" i="2"/>
  <c r="AU17" i="2"/>
  <c r="AV17" i="2"/>
  <c r="G18" i="2"/>
  <c r="J18" i="2"/>
  <c r="M18" i="2"/>
  <c r="P18" i="2"/>
  <c r="S18" i="2"/>
  <c r="V18" i="2"/>
  <c r="Y18" i="2"/>
  <c r="AB18" i="2"/>
  <c r="AE18" i="2"/>
  <c r="AH18" i="2"/>
  <c r="AK18" i="2"/>
  <c r="AN18" i="2"/>
  <c r="AQ18" i="2"/>
  <c r="AS18" i="2"/>
  <c r="AT18" i="2"/>
  <c r="AU18" i="2"/>
  <c r="AV18" i="2"/>
  <c r="D19" i="2"/>
  <c r="G19" i="2"/>
  <c r="J19" i="2"/>
  <c r="M19" i="2"/>
  <c r="P19" i="2"/>
  <c r="S19" i="2"/>
  <c r="V19" i="2"/>
  <c r="Y19" i="2"/>
  <c r="AB19" i="2"/>
  <c r="AE19" i="2"/>
  <c r="AH19" i="2"/>
  <c r="AK19" i="2"/>
  <c r="AN19" i="2"/>
  <c r="AQ19" i="2"/>
  <c r="AS19" i="2"/>
  <c r="AT19" i="2"/>
  <c r="AU19" i="2"/>
  <c r="AV19" i="2"/>
  <c r="G20" i="2"/>
  <c r="J20" i="2"/>
  <c r="M20" i="2"/>
  <c r="P20" i="2"/>
  <c r="S20" i="2"/>
  <c r="V20" i="2"/>
  <c r="Y20" i="2"/>
  <c r="AB20" i="2"/>
  <c r="AE20" i="2"/>
  <c r="AH20" i="2"/>
  <c r="AK20" i="2"/>
  <c r="AN20" i="2"/>
  <c r="AQ20" i="2"/>
  <c r="AS20" i="2"/>
  <c r="AT20" i="2"/>
  <c r="AU20" i="2"/>
  <c r="AV20" i="2"/>
  <c r="G21" i="2"/>
  <c r="J21" i="2"/>
  <c r="M21" i="2"/>
  <c r="P21" i="2"/>
  <c r="S21" i="2"/>
  <c r="V21" i="2"/>
  <c r="Y21" i="2"/>
  <c r="AB21" i="2"/>
  <c r="AE21" i="2"/>
  <c r="AH21" i="2"/>
  <c r="AK21" i="2"/>
  <c r="AN21" i="2"/>
  <c r="AQ21" i="2"/>
  <c r="AS21" i="2"/>
  <c r="AT21" i="2"/>
  <c r="AU21" i="2"/>
  <c r="AV21" i="2"/>
  <c r="G22" i="2"/>
  <c r="J22" i="2"/>
  <c r="M22" i="2"/>
  <c r="P22" i="2"/>
  <c r="S22" i="2"/>
  <c r="V22" i="2"/>
  <c r="Y22" i="2"/>
  <c r="AB22" i="2"/>
  <c r="AE22" i="2"/>
  <c r="AH22" i="2"/>
  <c r="AK22" i="2"/>
  <c r="AN22" i="2"/>
  <c r="AQ22" i="2"/>
  <c r="AS22" i="2"/>
  <c r="AT22" i="2"/>
  <c r="AU22" i="2"/>
  <c r="AV22" i="2"/>
  <c r="G23" i="2"/>
  <c r="J23" i="2"/>
  <c r="M23" i="2"/>
  <c r="P23" i="2"/>
  <c r="S23" i="2"/>
  <c r="V23" i="2"/>
  <c r="Y23" i="2"/>
  <c r="AB23" i="2"/>
  <c r="AE23" i="2"/>
  <c r="AH23" i="2"/>
  <c r="AK23" i="2"/>
  <c r="AN23" i="2"/>
  <c r="AQ23" i="2"/>
  <c r="AS23" i="2"/>
  <c r="AT23" i="2"/>
  <c r="AU23" i="2"/>
  <c r="AV23" i="2"/>
  <c r="G24" i="2"/>
  <c r="J24" i="2"/>
  <c r="M24" i="2"/>
  <c r="P24" i="2"/>
  <c r="S24" i="2"/>
  <c r="V24" i="2"/>
  <c r="Y24" i="2"/>
  <c r="AB24" i="2"/>
  <c r="AE24" i="2"/>
  <c r="AH24" i="2"/>
  <c r="AK24" i="2"/>
  <c r="AN24" i="2"/>
  <c r="AQ24" i="2"/>
  <c r="AS24" i="2"/>
  <c r="AT24" i="2"/>
  <c r="AU24" i="2"/>
  <c r="AV24" i="2"/>
  <c r="K25" i="2"/>
  <c r="N25" i="2"/>
  <c r="U51" i="2" s="1"/>
  <c r="T25" i="2"/>
  <c r="W25" i="2"/>
  <c r="AC25" i="2"/>
  <c r="AF25" i="2"/>
  <c r="AL25" i="2"/>
  <c r="AO25" i="2"/>
  <c r="V53" i="2"/>
  <c r="V52" i="2"/>
  <c r="V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X51" i="2" l="1"/>
  <c r="X49" i="2"/>
  <c r="X47" i="2"/>
  <c r="A10" i="2"/>
  <c r="S35" i="2"/>
  <c r="X48" i="2"/>
  <c r="X44" i="2"/>
  <c r="X46" i="2"/>
  <c r="G8" i="2"/>
  <c r="V35" i="2"/>
  <c r="W35" i="2" s="1"/>
  <c r="X50" i="2"/>
  <c r="T36" i="2"/>
  <c r="U36" i="2" s="1"/>
  <c r="U52" i="2"/>
  <c r="X52" i="2" s="1"/>
  <c r="X42" i="2"/>
  <c r="U53" i="2"/>
  <c r="X53" i="2" s="1"/>
  <c r="T35" i="2"/>
  <c r="U35" i="2" s="1"/>
  <c r="W46" i="2"/>
  <c r="Y47" i="2"/>
  <c r="Y49" i="2"/>
  <c r="Y50" i="2"/>
  <c r="Y46" i="2"/>
  <c r="X43" i="2"/>
  <c r="W47" i="2"/>
  <c r="Y48" i="2"/>
  <c r="Y42" i="2"/>
  <c r="W44" i="2"/>
  <c r="Y44" i="2"/>
  <c r="W51" i="2"/>
  <c r="X45" i="2"/>
  <c r="Y51" i="2"/>
  <c r="W49" i="2"/>
  <c r="Y43" i="2"/>
  <c r="W50" i="2"/>
  <c r="T37" i="2"/>
  <c r="U37" i="2" s="1"/>
  <c r="Y45" i="2"/>
  <c r="V36" i="2"/>
  <c r="W36" i="2" s="1"/>
  <c r="W45" i="2"/>
  <c r="V37" i="2"/>
  <c r="W37" i="2" s="1"/>
  <c r="W42" i="2"/>
  <c r="W43" i="2"/>
  <c r="W48" i="2"/>
  <c r="X35" i="2" l="1"/>
  <c r="X36" i="2"/>
  <c r="X37" i="2"/>
  <c r="A11" i="2"/>
  <c r="A12" i="2" s="1"/>
  <c r="A13" i="2" s="1"/>
  <c r="A14" i="2" s="1"/>
  <c r="A15" i="2" s="1"/>
  <c r="A16" i="2" s="1"/>
  <c r="A17" i="2" s="1"/>
  <c r="S36" i="2"/>
  <c r="Y52" i="2"/>
  <c r="W52" i="2"/>
  <c r="W53" i="2"/>
  <c r="Y53" i="2"/>
  <c r="A18" i="2" l="1"/>
  <c r="A19" i="2" s="1"/>
  <c r="A20" i="2" s="1"/>
  <c r="A21" i="2" s="1"/>
  <c r="A22" i="2" s="1"/>
  <c r="A23" i="2" s="1"/>
  <c r="A24" i="2" s="1"/>
  <c r="S37" i="2"/>
</calcChain>
</file>

<file path=xl/sharedStrings.xml><?xml version="1.0" encoding="utf-8"?>
<sst xmlns="http://schemas.openxmlformats.org/spreadsheetml/2006/main" count="345" uniqueCount="53">
  <si>
    <t>cfs</t>
  </si>
  <si>
    <t>OMR = -6250</t>
  </si>
  <si>
    <t>OMR = -5000</t>
  </si>
  <si>
    <t>OMR = -3500</t>
  </si>
  <si>
    <t>OMR = -2000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</si>
  <si>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</si>
  <si>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</si>
  <si>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</si>
  <si>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</si>
  <si>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</si>
  <si>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</si>
  <si>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</si>
  <si>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>CCF (af)</t>
  </si>
  <si>
    <t>TPP (af)</t>
  </si>
  <si>
    <t xml:space="preserve">  </t>
  </si>
  <si>
    <t>CVP Exports (AF)</t>
  </si>
  <si>
    <t>SWP Exports (AF)</t>
  </si>
  <si>
    <t>Sacramento River at Freeport (cfs)</t>
  </si>
  <si>
    <t>San Joaquin River at Vernalis (cfs)</t>
  </si>
  <si>
    <t>med</t>
  </si>
  <si>
    <t>hi</t>
  </si>
  <si>
    <t>OMR Bins</t>
  </si>
  <si>
    <t>Total Exports (AF)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</si>
  <si>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</si>
  <si>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</si>
  <si>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</si>
  <si>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</si>
  <si>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</si>
  <si>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</si>
  <si>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</si>
  <si>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</si>
  <si>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</si>
  <si>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</si>
  <si>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</si>
  <si>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</si>
  <si>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</si>
  <si>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</si>
  <si>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</si>
  <si>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</si>
  <si>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</si>
  <si>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</si>
  <si>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</si>
  <si>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</si>
  <si>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</si>
  <si>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</si>
  <si>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</si>
  <si>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</si>
  <si>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</si>
  <si>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</si>
  <si>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</si>
  <si>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</si>
  <si>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</si>
  <si>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Updated 1/8/2026 by Stantec. Added measured data from 1/5/2026 to 1/7/2026, adjusted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</si>
</sst>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3" fontId="1" fillId="0" borderId="0" xfId="1" applyNumberFormat="1"/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48613612833783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34616763235499"/>
          <c:y val="0.238779999900229"/>
          <c:w val="0.84028867246546546"/>
          <c:h val="0.50585107179024136"/>
        </c:manualLayout>
      </c:layout>
      <c:lineChart>
        <c:grouping val="standard"/>
        <c:varyColors val="0"/>
        <c:ser>
          <c:idx val="3"/>
          <c:order val="0"/>
          <c:tx>
            <c:v>Sacramento River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390-975C-A81DB58B1A2A}"/>
            </c:ext>
          </c:extLst>
        </c:ser>
        <c:ser>
          <c:idx val="5"/>
          <c:order val="1"/>
          <c:tx>
            <c:v>Sacramento River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390-975C-A81DB58B1A2A}"/>
            </c:ext>
          </c:extLst>
        </c:ser>
        <c:ser>
          <c:idx val="6"/>
          <c:order val="2"/>
          <c:tx>
            <c:v>San Joaquin River at Vernalis (Measured)</c:v>
          </c:tx>
          <c:spPr>
            <a:ln w="571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390-975C-A81DB58B1A2A}"/>
            </c:ext>
          </c:extLst>
        </c:ser>
        <c:ser>
          <c:idx val="7"/>
          <c:order val="3"/>
          <c:tx>
            <c:v>San Joaquin River at Vernalis (Forecast)</c:v>
          </c:tx>
          <c:spPr>
            <a:ln w="57150" cap="sq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390-975C-A81DB58B1A2A}"/>
            </c:ext>
          </c:extLst>
        </c:ser>
        <c:ser>
          <c:idx val="2"/>
          <c:order val="4"/>
          <c:tx>
            <c:v>Clifton Court Forebay (Measured)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7600</c:v>
                </c:pt>
                <c:pt idx="1">
                  <c:v>9800</c:v>
                </c:pt>
                <c:pt idx="2">
                  <c:v>8300</c:v>
                </c:pt>
                <c:pt idx="3">
                  <c:v>7400</c:v>
                </c:pt>
                <c:pt idx="4">
                  <c:v>7100</c:v>
                </c:pt>
                <c:pt idx="5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390-975C-A81DB58B1A2A}"/>
            </c:ext>
          </c:extLst>
        </c:ser>
        <c:ser>
          <c:idx val="0"/>
          <c:order val="5"/>
          <c:tx>
            <c:v>Clifton Court Forebay (Forecast)</c:v>
          </c:tx>
          <c:spPr>
            <a:ln w="38100" cap="sq"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6500</c:v>
                </c:pt>
                <c:pt idx="6">
                  <c:v>6400</c:v>
                </c:pt>
                <c:pt idx="7">
                  <c:v>6400</c:v>
                </c:pt>
                <c:pt idx="8">
                  <c:v>6400</c:v>
                </c:pt>
                <c:pt idx="9">
                  <c:v>6400</c:v>
                </c:pt>
                <c:pt idx="10">
                  <c:v>6400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390-975C-A81DB58B1A2A}"/>
            </c:ext>
          </c:extLst>
        </c:ser>
        <c:ser>
          <c:idx val="1"/>
          <c:order val="6"/>
          <c:tx>
            <c:v>Tracy Pumping Plant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8800</c:v>
                </c:pt>
                <c:pt idx="1">
                  <c:v>9124</c:v>
                </c:pt>
                <c:pt idx="2">
                  <c:v>9124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390-975C-A81DB58B1A2A}"/>
            </c:ext>
          </c:extLst>
        </c:ser>
        <c:ser>
          <c:idx val="4"/>
          <c:order val="7"/>
          <c:tx>
            <c:v>Tracy Pumping Plant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9124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8-4390-975C-A81DB58B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5000"/>
          <c:min val="44977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 Flow (cfs)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20099589572992"/>
          <c:y val="8.4202754678013955E-2"/>
          <c:w val="0.83080197662739075"/>
          <c:h val="0.1445742022059373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-6,250 cfs</a:t>
            </a:r>
            <a:endParaRPr lang="en-US"/>
          </a:p>
        </c:rich>
      </c:tx>
      <c:layout>
        <c:manualLayout>
          <c:xMode val="edge"/>
          <c:yMode val="edge"/>
          <c:x val="0.34104420365431953"/>
          <c:y val="0.210857806671873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8486286538664479"/>
          <c:w val="0.75125136904222345"/>
          <c:h val="0.44824722965493113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8C8-B7BD-C8225474B71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5-48C8-B7BD-C8225474B71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5-48C8-B7BD-C8225474B71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5-48C8-B7BD-C8225474B710}"/>
            </c:ext>
          </c:extLst>
        </c:ser>
        <c:ser>
          <c:idx val="8"/>
          <c:order val="8"/>
          <c:tx>
            <c:v>OMR (measured)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plot_example!$I$3:$I$24</c:f>
              <c:numCache>
                <c:formatCode>General</c:formatCode>
                <c:ptCount val="22"/>
                <c:pt idx="0">
                  <c:v>-6250</c:v>
                </c:pt>
                <c:pt idx="1">
                  <c:v>-6250</c:v>
                </c:pt>
                <c:pt idx="2">
                  <c:v>-6250</c:v>
                </c:pt>
                <c:pt idx="3">
                  <c:v>-6250</c:v>
                </c:pt>
                <c:pt idx="4">
                  <c:v>-6250</c:v>
                </c:pt>
                <c:pt idx="5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5-48C8-B7BD-C8225474B710}"/>
            </c:ext>
          </c:extLst>
        </c:ser>
        <c:ser>
          <c:idx val="9"/>
          <c:order val="9"/>
          <c:tx>
            <c:v>OMR (forecast)</c:v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plot_example!$J$3:$J$24</c:f>
              <c:numCache>
                <c:formatCode>General</c:formatCode>
                <c:ptCount val="22"/>
                <c:pt idx="5">
                  <c:v>-6250</c:v>
                </c:pt>
                <c:pt idx="6">
                  <c:v>-6250</c:v>
                </c:pt>
                <c:pt idx="7">
                  <c:v>-6250</c:v>
                </c:pt>
                <c:pt idx="8">
                  <c:v>-6250</c:v>
                </c:pt>
                <c:pt idx="9">
                  <c:v>-6250</c:v>
                </c:pt>
                <c:pt idx="10">
                  <c:v>-6250</c:v>
                </c:pt>
                <c:pt idx="11">
                  <c:v>-6250</c:v>
                </c:pt>
                <c:pt idx="12">
                  <c:v>-6250</c:v>
                </c:pt>
                <c:pt idx="13">
                  <c:v>-6250</c:v>
                </c:pt>
                <c:pt idx="14">
                  <c:v>-6250</c:v>
                </c:pt>
                <c:pt idx="15">
                  <c:v>-6250</c:v>
                </c:pt>
                <c:pt idx="16">
                  <c:v>-6250</c:v>
                </c:pt>
                <c:pt idx="17">
                  <c:v>-6250</c:v>
                </c:pt>
                <c:pt idx="18">
                  <c:v>-6250</c:v>
                </c:pt>
                <c:pt idx="19">
                  <c:v>-6250</c:v>
                </c:pt>
                <c:pt idx="20">
                  <c:v>-6250</c:v>
                </c:pt>
                <c:pt idx="21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tx>
            <c:v>SWP Exports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7600</c:v>
                </c:pt>
                <c:pt idx="1">
                  <c:v>9800</c:v>
                </c:pt>
                <c:pt idx="2">
                  <c:v>8300</c:v>
                </c:pt>
                <c:pt idx="3">
                  <c:v>7400</c:v>
                </c:pt>
                <c:pt idx="4">
                  <c:v>7100</c:v>
                </c:pt>
                <c:pt idx="5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5-48C8-B7BD-C8225474B710}"/>
            </c:ext>
          </c:extLst>
        </c:ser>
        <c:ser>
          <c:idx val="0"/>
          <c:order val="5"/>
          <c:tx>
            <c:v>SWP Exports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6500</c:v>
                </c:pt>
                <c:pt idx="6">
                  <c:v>6400</c:v>
                </c:pt>
                <c:pt idx="7">
                  <c:v>6400</c:v>
                </c:pt>
                <c:pt idx="8">
                  <c:v>6400</c:v>
                </c:pt>
                <c:pt idx="9">
                  <c:v>6400</c:v>
                </c:pt>
                <c:pt idx="10">
                  <c:v>6400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5-48C8-B7BD-C8225474B710}"/>
            </c:ext>
          </c:extLst>
        </c:ser>
        <c:ser>
          <c:idx val="1"/>
          <c:order val="6"/>
          <c:tx>
            <c:v>CVP Exports (Measured)</c:v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8800</c:v>
                </c:pt>
                <c:pt idx="1">
                  <c:v>9124</c:v>
                </c:pt>
                <c:pt idx="2">
                  <c:v>9124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5-48C8-B7BD-C8225474B710}"/>
            </c:ext>
          </c:extLst>
        </c:ser>
        <c:ser>
          <c:idx val="4"/>
          <c:order val="7"/>
          <c:tx>
            <c:v>CVP Exports (Forecast)</c:v>
          </c:tx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9124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legend>
      <c:legendPos val="r"/>
      <c:layout>
        <c:manualLayout>
          <c:xMode val="edge"/>
          <c:yMode val="edge"/>
          <c:x val="0.12165554243485029"/>
          <c:y val="3.5575200955284105E-3"/>
          <c:w val="0.87834446367581553"/>
          <c:h val="0.20270813227656465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B70-B543-54BCAFBAFAFE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B70-B543-54BCAFBAFAFE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B70-B543-54BCAFBAFAFE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B70-B543-54BCAFBAFAFE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plot_example!$R$3:$R$24</c:f>
              <c:numCache>
                <c:formatCode>General</c:formatCode>
                <c:ptCount val="22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B70-B543-54BCAFBAFAFE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plot_example!$S$3:$S$24</c:f>
              <c:numCache>
                <c:formatCode>General</c:formatCode>
                <c:ptCount val="22"/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-5000</c:v>
                </c:pt>
                <c:pt idx="11">
                  <c:v>-5000</c:v>
                </c:pt>
                <c:pt idx="12">
                  <c:v>-5000</c:v>
                </c:pt>
                <c:pt idx="13">
                  <c:v>-5000</c:v>
                </c:pt>
                <c:pt idx="14">
                  <c:v>-5000</c:v>
                </c:pt>
                <c:pt idx="15">
                  <c:v>-5000</c:v>
                </c:pt>
                <c:pt idx="16">
                  <c:v>-5000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plot_example!$U$3:$U$24</c:f>
              <c:numCache>
                <c:formatCode>General</c:formatCode>
                <c:ptCount val="22"/>
                <c:pt idx="0">
                  <c:v>6347</c:v>
                </c:pt>
                <c:pt idx="1">
                  <c:v>7537</c:v>
                </c:pt>
                <c:pt idx="2">
                  <c:v>6149</c:v>
                </c:pt>
                <c:pt idx="3">
                  <c:v>5355</c:v>
                </c:pt>
                <c:pt idx="4">
                  <c:v>6347</c:v>
                </c:pt>
                <c:pt idx="5">
                  <c:v>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B70-B543-54BCAFBAFAFE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5">
                  <c:v>5752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B70-B543-54BCAFBAFAFE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plot_example!$X$3:$X$24</c:f>
              <c:numCache>
                <c:formatCode>General</c:formatCode>
                <c:ptCount val="22"/>
                <c:pt idx="0">
                  <c:v>6942</c:v>
                </c:pt>
                <c:pt idx="1">
                  <c:v>8331</c:v>
                </c:pt>
                <c:pt idx="2">
                  <c:v>8331</c:v>
                </c:pt>
                <c:pt idx="3">
                  <c:v>8331</c:v>
                </c:pt>
                <c:pt idx="4">
                  <c:v>6942</c:v>
                </c:pt>
                <c:pt idx="5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B70-B543-54BCAFBAFAFE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5">
                  <c:v>6942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6942</c:v>
                </c:pt>
                <c:pt idx="10">
                  <c:v>6942</c:v>
                </c:pt>
                <c:pt idx="11">
                  <c:v>6942</c:v>
                </c:pt>
                <c:pt idx="12">
                  <c:v>6942</c:v>
                </c:pt>
                <c:pt idx="13">
                  <c:v>6942</c:v>
                </c:pt>
                <c:pt idx="14">
                  <c:v>6942</c:v>
                </c:pt>
                <c:pt idx="15">
                  <c:v>6942</c:v>
                </c:pt>
                <c:pt idx="16">
                  <c:v>6942</c:v>
                </c:pt>
                <c:pt idx="17">
                  <c:v>6942</c:v>
                </c:pt>
                <c:pt idx="18">
                  <c:v>6942</c:v>
                </c:pt>
                <c:pt idx="19">
                  <c:v>6942</c:v>
                </c:pt>
                <c:pt idx="20">
                  <c:v>6942</c:v>
                </c:pt>
                <c:pt idx="21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-3,500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0BF-8E27-D50EE73AE74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0BF-8E27-D50EE73AE74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D-40BF-8E27-D50EE73AE74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D-40BF-8E27-D50EE73AE74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plot_example!$AA$3:$AA$24</c:f>
              <c:numCache>
                <c:formatCode>General</c:formatCode>
                <c:ptCount val="22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D-40BF-8E27-D50EE73AE74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plot_example!$AB$3:$AB$24</c:f>
              <c:numCache>
                <c:formatCode>General</c:formatCode>
                <c:ptCount val="22"/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plot_example!$AD$3:$AD$24</c:f>
              <c:numCache>
                <c:formatCode>General</c:formatCode>
                <c:ptCount val="22"/>
                <c:pt idx="0">
                  <c:v>4760</c:v>
                </c:pt>
                <c:pt idx="1">
                  <c:v>5951</c:v>
                </c:pt>
                <c:pt idx="2">
                  <c:v>4165</c:v>
                </c:pt>
                <c:pt idx="3">
                  <c:v>4959</c:v>
                </c:pt>
                <c:pt idx="4">
                  <c:v>4562</c:v>
                </c:pt>
                <c:pt idx="5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D-40BF-8E27-D50EE73AE74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5">
                  <c:v>4165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D-40BF-8E27-D50EE73AE74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plot_example!$AG$3:$AG$24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6942</c:v>
                </c:pt>
                <c:pt idx="3">
                  <c:v>5355</c:v>
                </c:pt>
                <c:pt idx="4">
                  <c:v>5355</c:v>
                </c:pt>
                <c:pt idx="5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D-40BF-8E27-D50EE73AE74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5">
                  <c:v>5355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-2,000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8-4339-84AC-0CF565EC333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8-4339-84AC-0CF565EC333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8-4339-84AC-0CF565EC333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8-4339-84AC-0CF565EC333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plot_example!$AJ$3:$AJ$24</c:f>
              <c:numCache>
                <c:formatCode>General</c:formatCode>
                <c:ptCount val="22"/>
                <c:pt idx="0">
                  <c:v>-2000</c:v>
                </c:pt>
                <c:pt idx="1">
                  <c:v>-2000</c:v>
                </c:pt>
                <c:pt idx="2">
                  <c:v>-2000</c:v>
                </c:pt>
                <c:pt idx="3">
                  <c:v>-2000</c:v>
                </c:pt>
                <c:pt idx="4">
                  <c:v>-2000</c:v>
                </c:pt>
                <c:pt idx="5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8-4339-84AC-0CF565EC333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plot_example!$AK$3:$AK$24</c:f>
              <c:numCache>
                <c:formatCode>General</c:formatCode>
                <c:ptCount val="22"/>
                <c:pt idx="5">
                  <c:v>-2000</c:v>
                </c:pt>
                <c:pt idx="6">
                  <c:v>-2000</c:v>
                </c:pt>
                <c:pt idx="7">
                  <c:v>-2000</c:v>
                </c:pt>
                <c:pt idx="8">
                  <c:v>-2000</c:v>
                </c:pt>
                <c:pt idx="9">
                  <c:v>-2000</c:v>
                </c:pt>
                <c:pt idx="10">
                  <c:v>-2000</c:v>
                </c:pt>
                <c:pt idx="11">
                  <c:v>-2000</c:v>
                </c:pt>
                <c:pt idx="12">
                  <c:v>-2000</c:v>
                </c:pt>
                <c:pt idx="13">
                  <c:v>-2000</c:v>
                </c:pt>
                <c:pt idx="14">
                  <c:v>-2000</c:v>
                </c:pt>
                <c:pt idx="15">
                  <c:v>-2000</c:v>
                </c:pt>
                <c:pt idx="16">
                  <c:v>-2000</c:v>
                </c:pt>
                <c:pt idx="17">
                  <c:v>-2000</c:v>
                </c:pt>
                <c:pt idx="18">
                  <c:v>-2000</c:v>
                </c:pt>
                <c:pt idx="19">
                  <c:v>-2000</c:v>
                </c:pt>
                <c:pt idx="20">
                  <c:v>-2000</c:v>
                </c:pt>
                <c:pt idx="21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  <c:pt idx="0">
                  <c:v>3372</c:v>
                </c:pt>
                <c:pt idx="1">
                  <c:v>4165</c:v>
                </c:pt>
                <c:pt idx="2">
                  <c:v>4364</c:v>
                </c:pt>
                <c:pt idx="3">
                  <c:v>3570</c:v>
                </c:pt>
                <c:pt idx="4">
                  <c:v>3174</c:v>
                </c:pt>
                <c:pt idx="5">
                  <c:v>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8-4339-84AC-0CF565EC333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5">
                  <c:v>2579</c:v>
                </c:pt>
                <c:pt idx="6">
                  <c:v>2182</c:v>
                </c:pt>
                <c:pt idx="7">
                  <c:v>2182</c:v>
                </c:pt>
                <c:pt idx="8">
                  <c:v>2182</c:v>
                </c:pt>
                <c:pt idx="9">
                  <c:v>2182</c:v>
                </c:pt>
                <c:pt idx="10">
                  <c:v>2182</c:v>
                </c:pt>
                <c:pt idx="11">
                  <c:v>2182</c:v>
                </c:pt>
                <c:pt idx="12">
                  <c:v>2182</c:v>
                </c:pt>
                <c:pt idx="13">
                  <c:v>2182</c:v>
                </c:pt>
                <c:pt idx="14">
                  <c:v>2182</c:v>
                </c:pt>
                <c:pt idx="15">
                  <c:v>2182</c:v>
                </c:pt>
                <c:pt idx="16">
                  <c:v>2182</c:v>
                </c:pt>
                <c:pt idx="17">
                  <c:v>2182</c:v>
                </c:pt>
                <c:pt idx="18">
                  <c:v>2182</c:v>
                </c:pt>
                <c:pt idx="19">
                  <c:v>2182</c:v>
                </c:pt>
                <c:pt idx="20">
                  <c:v>2182</c:v>
                </c:pt>
                <c:pt idx="21">
                  <c:v>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8-4339-84AC-0CF565EC333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  <c:pt idx="0">
                  <c:v>6942</c:v>
                </c:pt>
                <c:pt idx="1">
                  <c:v>5355</c:v>
                </c:pt>
                <c:pt idx="2">
                  <c:v>3570</c:v>
                </c:pt>
                <c:pt idx="3">
                  <c:v>3570</c:v>
                </c:pt>
                <c:pt idx="4">
                  <c:v>3570</c:v>
                </c:pt>
                <c:pt idx="5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48-4339-84AC-0CF565EC333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5">
                  <c:v>3570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320040</xdr:colOff>
      <xdr:row>24</xdr:row>
      <xdr:rowOff>30480</xdr:rowOff>
    </xdr:from>
    <xdr:to>
      <xdr:col>58</xdr:col>
      <xdr:colOff>167642</xdr:colOff>
      <xdr:row>50</xdr:row>
      <xdr:rowOff>77260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27B7B-55EC-41C2-9217-8FC2F832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254906</xdr:colOff>
      <xdr:row>35</xdr:row>
      <xdr:rowOff>68034</xdr:rowOff>
    </xdr:from>
    <xdr:to>
      <xdr:col>14</xdr:col>
      <xdr:colOff>115057</xdr:colOff>
      <xdr:row>104</xdr:row>
      <xdr:rowOff>87629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3AD33E-EC76-4908-BABE-33082713094D}"/>
            </a:ext>
          </a:extLst>
        </xdr:cNvPr>
        <xdr:cNvGrpSpPr/>
      </xdr:nvGrpSpPr>
      <xdr:grpSpPr>
        <a:xfrm>
          <a:off x="254906" y="6245677"/>
          <a:ext cx="8889851" cy="11220995"/>
          <a:chOff x="256800" y="5658665"/>
          <a:chExt cx="8430758" cy="1034741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191E552-2FA8-65C9-5AF6-B22BC468A6F3}"/>
              </a:ext>
            </a:extLst>
          </xdr:cNvPr>
          <xdr:cNvGraphicFramePr>
            <a:graphicFrameLocks/>
          </xdr:cNvGraphicFramePr>
        </xdr:nvGraphicFramePr>
        <xdr:xfrm>
          <a:off x="268279" y="5658665"/>
          <a:ext cx="8419229" cy="384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C332FCE-CA7E-EA63-EB67-2A388E8E0A14}"/>
              </a:ext>
            </a:extLst>
          </xdr:cNvPr>
          <xdr:cNvGraphicFramePr>
            <a:graphicFrameLocks/>
          </xdr:cNvGraphicFramePr>
        </xdr:nvGraphicFramePr>
        <xdr:xfrm>
          <a:off x="256800" y="8587848"/>
          <a:ext cx="8430757" cy="3076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73BF1EC-84E9-4A93-D50C-CC24DF8E8AC2}"/>
              </a:ext>
            </a:extLst>
          </xdr:cNvPr>
          <xdr:cNvGraphicFramePr>
            <a:graphicFrameLocks/>
          </xdr:cNvGraphicFramePr>
        </xdr:nvGraphicFramePr>
        <xdr:xfrm>
          <a:off x="258603" y="10747473"/>
          <a:ext cx="8428955" cy="3093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E1CCDC5-210C-04D2-3D84-D6DA1FDEB4AE}"/>
              </a:ext>
            </a:extLst>
          </xdr:cNvPr>
          <xdr:cNvGraphicFramePr>
            <a:graphicFrameLocks/>
          </xdr:cNvGraphicFramePr>
        </xdr:nvGraphicFramePr>
        <xdr:xfrm>
          <a:off x="266325" y="12927782"/>
          <a:ext cx="8419327" cy="307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16" zoomScale="70" zoomScaleNormal="70" workbookViewId="0">
      <selection activeCell="AA50" sqref="AA50:AA53"/>
    </sheetView>
  </sheetViews>
  <sheetFormatPr defaultRowHeight="12.3" x14ac:dyDescent="0.4"/>
  <cols>
    <col min="1" max="1" width="9.41796875" style="1" bestFit="1" customWidth="1"/>
    <col min="2" max="18" width="8.83984375" style="1"/>
    <col min="19" max="19" width="8.83984375" style="1" customWidth="1"/>
    <col min="20" max="20" width="10.1015625" style="1" bestFit="1" customWidth="1"/>
    <col min="21" max="21" width="8.83984375" style="1"/>
    <col min="22" max="22" width="10.1015625" style="1" bestFit="1" customWidth="1"/>
    <col min="23" max="25" width="10.1015625" style="1" customWidth="1"/>
    <col min="26" max="26" width="8.83984375" style="1"/>
    <col min="27" max="29" width="10.1015625" style="1" bestFit="1" customWidth="1"/>
    <col min="30" max="16384" width="8.83984375" style="1"/>
  </cols>
  <sheetData>
    <row r="1" spans="1:48" ht="12.6" thickBot="1" x14ac:dyDescent="0.45">
      <c r="B1" s="2" t="s">
        <v>0</v>
      </c>
      <c r="E1" s="2" t="s">
        <v>0</v>
      </c>
      <c r="H1" s="54" t="s">
        <v>1</v>
      </c>
      <c r="I1" s="55"/>
      <c r="J1" s="55"/>
      <c r="K1" s="55"/>
      <c r="L1" s="55"/>
      <c r="M1" s="55"/>
      <c r="N1" s="55"/>
      <c r="O1" s="55"/>
      <c r="P1" s="56"/>
      <c r="Q1" s="54" t="s">
        <v>2</v>
      </c>
      <c r="R1" s="55"/>
      <c r="S1" s="55"/>
      <c r="T1" s="55"/>
      <c r="U1" s="55"/>
      <c r="V1" s="55"/>
      <c r="W1" s="55"/>
      <c r="X1" s="55"/>
      <c r="Y1" s="56"/>
      <c r="Z1" s="54" t="s">
        <v>3</v>
      </c>
      <c r="AA1" s="55"/>
      <c r="AB1" s="55"/>
      <c r="AC1" s="55"/>
      <c r="AD1" s="55"/>
      <c r="AE1" s="55"/>
      <c r="AF1" s="55"/>
      <c r="AG1" s="55"/>
      <c r="AH1" s="56"/>
      <c r="AI1" s="3"/>
      <c r="AJ1" s="3"/>
      <c r="AK1" s="3"/>
      <c r="AL1" s="54" t="s">
        <v>4</v>
      </c>
      <c r="AM1" s="55"/>
      <c r="AN1" s="55"/>
      <c r="AO1" s="55"/>
      <c r="AP1" s="55"/>
      <c r="AQ1" s="56"/>
      <c r="AR1" s="2" t="s">
        <v>5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4">
      <c r="B2" s="5" t="s">
        <v>6</v>
      </c>
      <c r="C2" s="6" t="s">
        <v>7</v>
      </c>
      <c r="D2" s="1" t="s">
        <v>8</v>
      </c>
      <c r="E2" s="4" t="s">
        <v>28</v>
      </c>
      <c r="F2" s="1" t="s">
        <v>9</v>
      </c>
      <c r="G2" s="1" t="s">
        <v>10</v>
      </c>
      <c r="H2" s="2" t="s">
        <v>11</v>
      </c>
      <c r="K2" s="7" t="s">
        <v>12</v>
      </c>
      <c r="N2" s="2" t="s">
        <v>13</v>
      </c>
      <c r="P2" s="8"/>
      <c r="Q2" s="2" t="s">
        <v>11</v>
      </c>
      <c r="T2" s="7" t="s">
        <v>12</v>
      </c>
      <c r="W2" s="2" t="s">
        <v>13</v>
      </c>
      <c r="Y2" s="8"/>
      <c r="Z2" s="2" t="s">
        <v>11</v>
      </c>
      <c r="AC2" s="7" t="s">
        <v>12</v>
      </c>
      <c r="AF2" s="2" t="s">
        <v>13</v>
      </c>
      <c r="AH2" s="8"/>
      <c r="AI2" s="2" t="s">
        <v>11</v>
      </c>
      <c r="AL2" s="7" t="s">
        <v>12</v>
      </c>
      <c r="AO2" s="2" t="s">
        <v>13</v>
      </c>
      <c r="AQ2" s="8"/>
    </row>
    <row r="3" spans="1:48" ht="14.4" x14ac:dyDescent="0.55000000000000004">
      <c r="A3" s="9">
        <v>46028</v>
      </c>
      <c r="B3" s="10">
        <f>INDEX('01_05_OMRI -2000'!$E$4:$E$393,MATCH($A3,'01_05_OMRI -2000'!$A$4:$A$393,0))</f>
        <v>75675</v>
      </c>
      <c r="C3" s="11">
        <f>B3</f>
        <v>75675</v>
      </c>
      <c r="E3" s="10">
        <f>INDEX('01_05_OMRI -2000'!$D$4:$D$393,MATCH($A3,'01_05_OMRI -2000'!$A$4:$A$393,0))</f>
        <v>5083</v>
      </c>
      <c r="F3" s="11">
        <f>E3</f>
        <v>5083</v>
      </c>
      <c r="H3" s="12">
        <f>-6250</f>
        <v>-6250</v>
      </c>
      <c r="I3" s="11">
        <f>H3</f>
        <v>-6250</v>
      </c>
      <c r="K3" s="13">
        <f>INDEX('01_05_OMRI -6250'!$B4:$B400,MATCH($A3,'01_05_OMRI -6250'!$A4:$A400,0))</f>
        <v>7600</v>
      </c>
      <c r="L3" s="11">
        <f>K3</f>
        <v>7600</v>
      </c>
      <c r="N3" s="14">
        <f>INDEX('01_05_OMRI -6250'!$C4:$C400,MATCH($A3,'01_05_OMRI -6250'!$A4:$A400,0))</f>
        <v>8800</v>
      </c>
      <c r="O3" s="11">
        <f>N3</f>
        <v>8800</v>
      </c>
      <c r="P3" s="8"/>
      <c r="Q3" s="1">
        <v>-5000</v>
      </c>
      <c r="R3" s="11">
        <f t="shared" ref="R3:R8" si="0">Q3</f>
        <v>-5000</v>
      </c>
      <c r="T3" s="53">
        <f>INDEX('01_05_OMRI -5000'!$B4:$B393,MATCH($A3,'01_05_OMRI -5000'!$A4:$A393,0))</f>
        <v>6347</v>
      </c>
      <c r="U3" s="11">
        <f>T3</f>
        <v>6347</v>
      </c>
      <c r="W3" s="10">
        <f>INDEX('01_05_OMRI -5000'!$C4:$C393,MATCH($A3,'01_05_OMRI -5000'!$A4:$A393,0))</f>
        <v>6942</v>
      </c>
      <c r="X3" s="11">
        <f>W3</f>
        <v>6942</v>
      </c>
      <c r="Y3" s="8"/>
      <c r="Z3" s="1">
        <v>-3500</v>
      </c>
      <c r="AA3" s="11">
        <f>Z3</f>
        <v>-3500</v>
      </c>
      <c r="AB3" s="8"/>
      <c r="AC3" s="15">
        <f>INDEX('01_05_OMRI -3500'!$B4:$B393,MATCH($A3,'01_05_OMRI -3500'!$A4:$A393,0))</f>
        <v>4760</v>
      </c>
      <c r="AD3" s="11">
        <f>AC3</f>
        <v>4760</v>
      </c>
      <c r="AF3" s="14">
        <f>INDEX('01_05_OMRI -3500'!$C4:$C393,MATCH($A3,'01_05_OMRI -3500'!$A4:$A393,0))</f>
        <v>6942</v>
      </c>
      <c r="AG3" s="11">
        <f>AF3</f>
        <v>6942</v>
      </c>
      <c r="AH3" s="8"/>
      <c r="AI3" s="12">
        <v>-2000</v>
      </c>
      <c r="AJ3" s="11">
        <f>AI3</f>
        <v>-2000</v>
      </c>
      <c r="AL3" s="15">
        <f>INDEX('01_05_OMRI -2000'!$B4:$B393,MATCH($A3,'01_05_OMRI -2000'!$A4:$A393,0))</f>
        <v>3372</v>
      </c>
      <c r="AM3" s="11">
        <f>AL3</f>
        <v>3372</v>
      </c>
      <c r="AO3" s="14">
        <f>INDEX('01_05_OMRI -2000'!$C4:$C393,MATCH($A3,'01_05_OMRI -2000'!$A4:$A393,0))</f>
        <v>6942</v>
      </c>
      <c r="AP3" s="11">
        <f>AO3</f>
        <v>6942</v>
      </c>
      <c r="AQ3" s="8"/>
      <c r="AS3" s="16">
        <f t="shared" ref="AS3:AS24" si="1">N3/(K3+N3)</f>
        <v>0.53658536585365857</v>
      </c>
      <c r="AT3" s="16">
        <f t="shared" ref="AT3:AT24" si="2">W3/(T3+W3)</f>
        <v>0.52238693656407553</v>
      </c>
      <c r="AU3" s="16">
        <f>AF3/(AC3+AF3)</f>
        <v>0.59323192616646725</v>
      </c>
      <c r="AV3" s="16">
        <f>AO3/(AL3+AO3)</f>
        <v>0.67306573589296104</v>
      </c>
    </row>
    <row r="4" spans="1:48" ht="14.4" x14ac:dyDescent="0.55000000000000004">
      <c r="A4" s="9">
        <f>A3+1</f>
        <v>46029</v>
      </c>
      <c r="B4" s="10">
        <f>INDEX('01_05_OMRI -2000'!$E$4:$E$393,MATCH($A4,'01_05_OMRI -2000'!$A$4:$A$393,0))</f>
        <v>75866</v>
      </c>
      <c r="C4" s="11">
        <f t="shared" ref="C4:C8" si="3">B4</f>
        <v>75866</v>
      </c>
      <c r="E4" s="10">
        <f>INDEX('01_05_OMRI -2000'!$D$4:$D$393,MATCH($A4,'01_05_OMRI -2000'!$A$4:$A$393,0))</f>
        <v>4454</v>
      </c>
      <c r="F4" s="11">
        <f t="shared" ref="F4:F8" si="4">E4</f>
        <v>4454</v>
      </c>
      <c r="H4" s="12">
        <f t="shared" ref="H4:H24" si="5">-6250</f>
        <v>-6250</v>
      </c>
      <c r="I4" s="11">
        <f t="shared" ref="I4:I8" si="6">H4</f>
        <v>-6250</v>
      </c>
      <c r="K4" s="13">
        <f>INDEX('01_05_OMRI -6250'!$B5:$B401,MATCH($A4,'01_05_OMRI -6250'!$A5:$A401,0))</f>
        <v>9800</v>
      </c>
      <c r="L4" s="11">
        <f t="shared" ref="L4:L8" si="7">K4</f>
        <v>9800</v>
      </c>
      <c r="N4" s="14">
        <f>INDEX('01_05_OMRI -6250'!$C5:$C401,MATCH($A4,'01_05_OMRI -6250'!$A5:$A401,0))</f>
        <v>9124</v>
      </c>
      <c r="O4" s="11">
        <f t="shared" ref="O4:O8" si="8">N4</f>
        <v>9124</v>
      </c>
      <c r="P4" s="8"/>
      <c r="Q4" s="1">
        <v>-5000</v>
      </c>
      <c r="R4" s="11">
        <f t="shared" si="0"/>
        <v>-5000</v>
      </c>
      <c r="T4" s="10">
        <f>INDEX('01_05_OMRI -5000'!$B4:$B394,MATCH($A4,'01_05_OMRI -5000'!$A4:$A394,0))</f>
        <v>7537</v>
      </c>
      <c r="U4" s="11">
        <f t="shared" ref="U4:U8" si="9">T4</f>
        <v>7537</v>
      </c>
      <c r="W4" s="10">
        <f>INDEX('01_05_OMRI -5000'!$C4:$C394,MATCH($A4,'01_05_OMRI -5000'!$A4:$A394,0))</f>
        <v>8331</v>
      </c>
      <c r="X4" s="11">
        <f t="shared" ref="X4:X8" si="10">W4</f>
        <v>8331</v>
      </c>
      <c r="Y4" s="8"/>
      <c r="Z4" s="1">
        <v>-3500</v>
      </c>
      <c r="AA4" s="11">
        <f t="shared" ref="AA4:AA8" si="11">Z4</f>
        <v>-3500</v>
      </c>
      <c r="AB4" s="8"/>
      <c r="AC4" s="15">
        <f>INDEX('01_05_OMRI -3500'!$B4:$B394,MATCH($A4,'01_05_OMRI -3500'!$A4:$A394,0))</f>
        <v>5951</v>
      </c>
      <c r="AD4" s="11">
        <f t="shared" ref="AD4:AD8" si="12">AC4</f>
        <v>5951</v>
      </c>
      <c r="AF4" s="14">
        <f>INDEX('01_05_OMRI -3500'!$C4:$C394,MATCH($A4,'01_05_OMRI -3500'!$A4:$A394,0))</f>
        <v>6942</v>
      </c>
      <c r="AG4" s="11">
        <f t="shared" ref="AG4:AG8" si="13">AF4</f>
        <v>6942</v>
      </c>
      <c r="AH4" s="8"/>
      <c r="AI4" s="12">
        <v>-2000</v>
      </c>
      <c r="AJ4" s="11">
        <f t="shared" ref="AJ4:AJ8" si="14">AI4</f>
        <v>-2000</v>
      </c>
      <c r="AL4" s="15">
        <f>INDEX('01_05_OMRI -2000'!$B4:$B394,MATCH($A4,'01_05_OMRI -2000'!$A4:$A394,0))</f>
        <v>4165</v>
      </c>
      <c r="AM4" s="11">
        <f t="shared" ref="AM4:AM8" si="15">AL4</f>
        <v>4165</v>
      </c>
      <c r="AO4" s="14">
        <f>INDEX('01_05_OMRI -2000'!$C4:$C394,MATCH($A4,'01_05_OMRI -2000'!$A4:$A394,0))</f>
        <v>5355</v>
      </c>
      <c r="AP4" s="11">
        <f t="shared" ref="AP4:AP8" si="16">AO4</f>
        <v>5355</v>
      </c>
      <c r="AQ4" s="8"/>
      <c r="AS4" s="16">
        <f t="shared" si="1"/>
        <v>0.48213908264637495</v>
      </c>
      <c r="AT4" s="16">
        <f t="shared" si="2"/>
        <v>0.52501890597428791</v>
      </c>
      <c r="AU4" s="16">
        <f t="shared" ref="AU4:AU24" si="17">AF4/(AC4+AF4)</f>
        <v>0.5384317071278989</v>
      </c>
      <c r="AV4" s="16">
        <f t="shared" ref="AV4:AV24" si="18">AO4/(AL4+AO4)</f>
        <v>0.5625</v>
      </c>
    </row>
    <row r="5" spans="1:48" ht="14.4" x14ac:dyDescent="0.55000000000000004">
      <c r="A5" s="9">
        <f t="shared" ref="A5:A24" si="19">A4+1</f>
        <v>46030</v>
      </c>
      <c r="B5" s="10">
        <f>INDEX('01_05_OMRI -2000'!$E$4:$E$393,MATCH($A5,'01_05_OMRI -2000'!$A$4:$A$393,0))</f>
        <v>74302</v>
      </c>
      <c r="C5" s="11">
        <f t="shared" si="3"/>
        <v>74302</v>
      </c>
      <c r="E5" s="10">
        <f>INDEX('01_05_OMRI -2000'!$D$4:$D$393,MATCH($A5,'01_05_OMRI -2000'!$A$4:$A$393,0))</f>
        <v>3541</v>
      </c>
      <c r="F5" s="11">
        <f t="shared" si="4"/>
        <v>3541</v>
      </c>
      <c r="H5" s="12">
        <f t="shared" si="5"/>
        <v>-6250</v>
      </c>
      <c r="I5" s="11">
        <f t="shared" si="6"/>
        <v>-6250</v>
      </c>
      <c r="K5" s="13">
        <f>INDEX('01_05_OMRI -6250'!$B6:$B402,MATCH($A5,'01_05_OMRI -6250'!$A6:$A402,0))</f>
        <v>8300</v>
      </c>
      <c r="L5" s="11">
        <f t="shared" si="7"/>
        <v>8300</v>
      </c>
      <c r="N5" s="14">
        <f>INDEX('01_05_OMRI -6250'!$C6:$C402,MATCH($A5,'01_05_OMRI -6250'!$A6:$A402,0))</f>
        <v>9124</v>
      </c>
      <c r="O5" s="11">
        <f t="shared" si="8"/>
        <v>9124</v>
      </c>
      <c r="P5" s="8"/>
      <c r="Q5" s="1">
        <v>-5000</v>
      </c>
      <c r="R5" s="11">
        <f t="shared" si="0"/>
        <v>-5000</v>
      </c>
      <c r="T5" s="10">
        <f>INDEX('01_05_OMRI -5000'!$B4:$B395,MATCH($A5,'01_05_OMRI -5000'!$A4:$A395,0))</f>
        <v>6149</v>
      </c>
      <c r="U5" s="11">
        <f t="shared" si="9"/>
        <v>6149</v>
      </c>
      <c r="W5" s="10">
        <f>INDEX('01_05_OMRI -5000'!$C4:$C395,MATCH($A5,'01_05_OMRI -5000'!$A4:$A395,0))</f>
        <v>8331</v>
      </c>
      <c r="X5" s="11">
        <f t="shared" si="10"/>
        <v>8331</v>
      </c>
      <c r="Y5" s="8"/>
      <c r="Z5" s="1">
        <v>-3500</v>
      </c>
      <c r="AA5" s="11">
        <f t="shared" si="11"/>
        <v>-3500</v>
      </c>
      <c r="AB5" s="8"/>
      <c r="AC5" s="15">
        <f>INDEX('01_05_OMRI -3500'!$B4:$B395,MATCH($A5,'01_05_OMRI -3500'!$A4:$A395,0))</f>
        <v>4165</v>
      </c>
      <c r="AD5" s="11">
        <f t="shared" si="12"/>
        <v>4165</v>
      </c>
      <c r="AF5" s="14">
        <f>INDEX('01_05_OMRI -3500'!$C4:$C395,MATCH($A5,'01_05_OMRI -3500'!$A4:$A395,0))</f>
        <v>6942</v>
      </c>
      <c r="AG5" s="11">
        <f t="shared" si="13"/>
        <v>6942</v>
      </c>
      <c r="AH5" s="8"/>
      <c r="AI5" s="12">
        <v>-2000</v>
      </c>
      <c r="AJ5" s="11">
        <f t="shared" si="14"/>
        <v>-2000</v>
      </c>
      <c r="AL5" s="15">
        <f>INDEX('01_05_OMRI -2000'!$B4:$B395,MATCH($A5,'01_05_OMRI -2000'!$A4:$A395,0))</f>
        <v>4364</v>
      </c>
      <c r="AM5" s="11">
        <f t="shared" si="15"/>
        <v>4364</v>
      </c>
      <c r="AO5" s="14">
        <f>INDEX('01_05_OMRI -2000'!$C4:$C395,MATCH($A5,'01_05_OMRI -2000'!$A4:$A395,0))</f>
        <v>3570</v>
      </c>
      <c r="AP5" s="11">
        <f t="shared" si="16"/>
        <v>3570</v>
      </c>
      <c r="AQ5" s="8"/>
      <c r="AS5" s="16">
        <f t="shared" si="1"/>
        <v>0.52364554637281913</v>
      </c>
      <c r="AT5" s="16">
        <f t="shared" si="2"/>
        <v>0.57534530386740335</v>
      </c>
      <c r="AU5" s="16">
        <f t="shared" si="17"/>
        <v>0.62501125416404069</v>
      </c>
      <c r="AV5" s="16">
        <f t="shared" si="18"/>
        <v>0.44996218805142424</v>
      </c>
    </row>
    <row r="6" spans="1:48" ht="14.4" x14ac:dyDescent="0.55000000000000004">
      <c r="A6" s="9">
        <f t="shared" si="19"/>
        <v>46031</v>
      </c>
      <c r="B6" s="10">
        <f>INDEX('01_05_OMRI -2000'!$E$4:$E$393,MATCH($A6,'01_05_OMRI -2000'!$A$4:$A$393,0))</f>
        <v>73450</v>
      </c>
      <c r="C6" s="11">
        <f t="shared" si="3"/>
        <v>73450</v>
      </c>
      <c r="E6" s="10">
        <f>INDEX('01_05_OMRI -2000'!$D$4:$D$393,MATCH($A6,'01_05_OMRI -2000'!$A$4:$A$393,0))</f>
        <v>3237</v>
      </c>
      <c r="F6" s="11">
        <f t="shared" si="4"/>
        <v>3237</v>
      </c>
      <c r="H6" s="12">
        <f t="shared" si="5"/>
        <v>-6250</v>
      </c>
      <c r="I6" s="11">
        <f t="shared" si="6"/>
        <v>-6250</v>
      </c>
      <c r="K6" s="13">
        <f>INDEX('01_05_OMRI -6250'!$B7:$B403,MATCH($A6,'01_05_OMRI -6250'!$A7:$A403,0))</f>
        <v>7400</v>
      </c>
      <c r="L6" s="11">
        <f t="shared" si="7"/>
        <v>7400</v>
      </c>
      <c r="N6" s="14">
        <f>INDEX('01_05_OMRI -6250'!$C7:$C403,MATCH($A6,'01_05_OMRI -6250'!$A7:$A403,0))</f>
        <v>9124</v>
      </c>
      <c r="O6" s="11">
        <f t="shared" si="8"/>
        <v>9124</v>
      </c>
      <c r="P6" s="8"/>
      <c r="Q6" s="1">
        <v>-5000</v>
      </c>
      <c r="R6" s="11">
        <f t="shared" si="0"/>
        <v>-5000</v>
      </c>
      <c r="T6" s="10">
        <f>INDEX('01_05_OMRI -5000'!$B4:$B396,MATCH($A6,'01_05_OMRI -5000'!$A4:$A396,0))</f>
        <v>5355</v>
      </c>
      <c r="U6" s="11">
        <f t="shared" si="9"/>
        <v>5355</v>
      </c>
      <c r="W6" s="10">
        <f>INDEX('01_05_OMRI -5000'!$C4:$C396,MATCH($A6,'01_05_OMRI -5000'!$A4:$A396,0))</f>
        <v>8331</v>
      </c>
      <c r="X6" s="11">
        <f t="shared" si="10"/>
        <v>8331</v>
      </c>
      <c r="Y6" s="8"/>
      <c r="Z6" s="1">
        <v>-3500</v>
      </c>
      <c r="AA6" s="11">
        <f t="shared" si="11"/>
        <v>-3500</v>
      </c>
      <c r="AB6" s="8"/>
      <c r="AC6" s="15">
        <f>INDEX('01_05_OMRI -3500'!$B4:$B396,MATCH($A6,'01_05_OMRI -3500'!$A4:$A396,0))</f>
        <v>4959</v>
      </c>
      <c r="AD6" s="11">
        <f t="shared" si="12"/>
        <v>4959</v>
      </c>
      <c r="AF6" s="14">
        <f>INDEX('01_05_OMRI -3500'!$C4:$C396,MATCH($A6,'01_05_OMRI -3500'!$A4:$A396,0))</f>
        <v>5355</v>
      </c>
      <c r="AG6" s="11">
        <f t="shared" si="13"/>
        <v>5355</v>
      </c>
      <c r="AH6" s="8"/>
      <c r="AI6" s="12">
        <v>-2000</v>
      </c>
      <c r="AJ6" s="11">
        <f t="shared" si="14"/>
        <v>-2000</v>
      </c>
      <c r="AL6" s="15">
        <f>INDEX('01_05_OMRI -2000'!$B4:$B396,MATCH($A6,'01_05_OMRI -2000'!$A4:$A396,0))</f>
        <v>3570</v>
      </c>
      <c r="AM6" s="11">
        <f t="shared" si="15"/>
        <v>3570</v>
      </c>
      <c r="AO6" s="14">
        <f>INDEX('01_05_OMRI -2000'!$C4:$C396,MATCH($A6,'01_05_OMRI -2000'!$A4:$A396,0))</f>
        <v>3570</v>
      </c>
      <c r="AP6" s="11">
        <f t="shared" si="16"/>
        <v>3570</v>
      </c>
      <c r="AQ6" s="8"/>
      <c r="AS6" s="16">
        <f t="shared" si="1"/>
        <v>0.55216654563059797</v>
      </c>
      <c r="AT6" s="16">
        <f t="shared" si="2"/>
        <v>0.60872424375274004</v>
      </c>
      <c r="AU6" s="16">
        <f t="shared" si="17"/>
        <v>0.51919720767888311</v>
      </c>
      <c r="AV6" s="16">
        <f t="shared" si="18"/>
        <v>0.5</v>
      </c>
    </row>
    <row r="7" spans="1:48" ht="14.4" x14ac:dyDescent="0.55000000000000004">
      <c r="A7" s="9">
        <f t="shared" si="19"/>
        <v>46032</v>
      </c>
      <c r="B7" s="10">
        <f>INDEX('01_05_OMRI -2000'!$E$4:$E$393,MATCH($A7,'01_05_OMRI -2000'!$A$4:$A$393,0))</f>
        <v>72041</v>
      </c>
      <c r="C7" s="11">
        <f t="shared" si="3"/>
        <v>72041</v>
      </c>
      <c r="E7" s="10">
        <f>INDEX('01_05_OMRI -2000'!$D$4:$D$393,MATCH($A7,'01_05_OMRI -2000'!$A$4:$A$393,0))</f>
        <v>3124</v>
      </c>
      <c r="F7" s="11">
        <f t="shared" si="4"/>
        <v>3124</v>
      </c>
      <c r="H7" s="12">
        <f t="shared" si="5"/>
        <v>-6250</v>
      </c>
      <c r="I7" s="11">
        <f t="shared" si="6"/>
        <v>-6250</v>
      </c>
      <c r="K7" s="13">
        <f>INDEX('01_05_OMRI -6250'!$B8:$B404,MATCH($A7,'01_05_OMRI -6250'!$A8:$A404,0))</f>
        <v>7100</v>
      </c>
      <c r="L7" s="11">
        <f t="shared" si="7"/>
        <v>7100</v>
      </c>
      <c r="N7" s="14">
        <f>INDEX('01_05_OMRI -6250'!$C8:$C404,MATCH($A7,'01_05_OMRI -6250'!$A8:$A404,0))</f>
        <v>9124</v>
      </c>
      <c r="O7" s="11">
        <f t="shared" si="8"/>
        <v>9124</v>
      </c>
      <c r="P7" s="8"/>
      <c r="Q7" s="1">
        <v>-5000</v>
      </c>
      <c r="R7" s="11">
        <f t="shared" si="0"/>
        <v>-5000</v>
      </c>
      <c r="T7" s="10">
        <f>INDEX('01_05_OMRI -5000'!$B4:$B397,MATCH($A7,'01_05_OMRI -5000'!$A4:$A397,0))</f>
        <v>6347</v>
      </c>
      <c r="U7" s="11">
        <f t="shared" si="9"/>
        <v>6347</v>
      </c>
      <c r="W7" s="10">
        <f>INDEX('01_05_OMRI -5000'!$C4:$C397,MATCH($A7,'01_05_OMRI -5000'!$A4:$A397,0))</f>
        <v>6942</v>
      </c>
      <c r="X7" s="11">
        <f t="shared" si="10"/>
        <v>6942</v>
      </c>
      <c r="Y7" s="8"/>
      <c r="Z7" s="1">
        <v>-3500</v>
      </c>
      <c r="AA7" s="11">
        <f t="shared" si="11"/>
        <v>-3500</v>
      </c>
      <c r="AB7" s="8"/>
      <c r="AC7" s="15">
        <f>INDEX('01_05_OMRI -3500'!$B4:$B397,MATCH($A7,'01_05_OMRI -3500'!$A4:$A397,0))</f>
        <v>4562</v>
      </c>
      <c r="AD7" s="11">
        <f t="shared" si="12"/>
        <v>4562</v>
      </c>
      <c r="AF7" s="14">
        <f>INDEX('01_05_OMRI -3500'!$C4:$C397,MATCH($A7,'01_05_OMRI -3500'!$A4:$A397,0))</f>
        <v>5355</v>
      </c>
      <c r="AG7" s="11">
        <f t="shared" si="13"/>
        <v>5355</v>
      </c>
      <c r="AH7" s="8"/>
      <c r="AI7" s="12">
        <v>-2000</v>
      </c>
      <c r="AJ7" s="11">
        <f t="shared" si="14"/>
        <v>-2000</v>
      </c>
      <c r="AL7" s="15">
        <f>INDEX('01_05_OMRI -2000'!$B4:$B397,MATCH($A7,'01_05_OMRI -2000'!$A4:$A397,0))</f>
        <v>3174</v>
      </c>
      <c r="AM7" s="11">
        <f t="shared" si="15"/>
        <v>3174</v>
      </c>
      <c r="AO7" s="14">
        <f>INDEX('01_05_OMRI -2000'!$C4:$C397,MATCH($A7,'01_05_OMRI -2000'!$A4:$A397,0))</f>
        <v>3570</v>
      </c>
      <c r="AP7" s="11">
        <f t="shared" si="16"/>
        <v>3570</v>
      </c>
      <c r="AQ7" s="8"/>
      <c r="AS7" s="16">
        <f t="shared" si="1"/>
        <v>0.56237672583826426</v>
      </c>
      <c r="AT7" s="16">
        <f t="shared" si="2"/>
        <v>0.52238693656407553</v>
      </c>
      <c r="AU7" s="16">
        <f t="shared" si="17"/>
        <v>0.53998184934960169</v>
      </c>
      <c r="AV7" s="16">
        <f t="shared" si="18"/>
        <v>0.52935943060498225</v>
      </c>
    </row>
    <row r="8" spans="1:48" ht="14.4" x14ac:dyDescent="0.55000000000000004">
      <c r="A8" s="9">
        <f t="shared" si="19"/>
        <v>46033</v>
      </c>
      <c r="B8" s="10">
        <f>INDEX('01_05_OMRI -2000'!$E$4:$E$393,MATCH($A8,'01_05_OMRI -2000'!$A$4:$A$393,0))</f>
        <v>70572</v>
      </c>
      <c r="C8" s="11">
        <f t="shared" si="3"/>
        <v>70572</v>
      </c>
      <c r="D8" s="1">
        <f>C8</f>
        <v>70572</v>
      </c>
      <c r="E8" s="10">
        <f>INDEX('01_05_OMRI -2000'!$D$4:$D$393,MATCH($A8,'01_05_OMRI -2000'!$A$4:$A$393,0))</f>
        <v>2973</v>
      </c>
      <c r="F8" s="11">
        <f t="shared" si="4"/>
        <v>2973</v>
      </c>
      <c r="G8" s="1">
        <f>E8</f>
        <v>2973</v>
      </c>
      <c r="H8" s="12">
        <f t="shared" si="5"/>
        <v>-6250</v>
      </c>
      <c r="I8" s="11">
        <f t="shared" si="6"/>
        <v>-6250</v>
      </c>
      <c r="J8" s="1">
        <f>H8</f>
        <v>-6250</v>
      </c>
      <c r="K8" s="13">
        <f>INDEX('01_05_OMRI -6250'!$B9:$B405,MATCH($A8,'01_05_OMRI -6250'!$A9:$A405,0))</f>
        <v>6500</v>
      </c>
      <c r="L8" s="11">
        <f t="shared" si="7"/>
        <v>6500</v>
      </c>
      <c r="M8" s="1">
        <f>K8</f>
        <v>6500</v>
      </c>
      <c r="N8" s="14">
        <f>INDEX('01_05_OMRI -6250'!$C9:$C405,MATCH($A8,'01_05_OMRI -6250'!$A9:$A405,0))</f>
        <v>9124</v>
      </c>
      <c r="O8" s="11">
        <f t="shared" si="8"/>
        <v>9124</v>
      </c>
      <c r="P8" s="8">
        <f>N8</f>
        <v>9124</v>
      </c>
      <c r="Q8" s="1">
        <v>-5000</v>
      </c>
      <c r="R8" s="11">
        <f t="shared" si="0"/>
        <v>-5000</v>
      </c>
      <c r="S8" s="1">
        <f t="shared" ref="S8:S24" si="20">Q8</f>
        <v>-5000</v>
      </c>
      <c r="T8" s="10">
        <f>INDEX('01_05_OMRI -5000'!$B4:$B398,MATCH($A8,'01_05_OMRI -5000'!$A4:$A398,0))</f>
        <v>5752</v>
      </c>
      <c r="U8" s="11">
        <f t="shared" si="9"/>
        <v>5752</v>
      </c>
      <c r="V8" s="1">
        <f t="shared" ref="V8:V24" si="21">T8</f>
        <v>5752</v>
      </c>
      <c r="W8" s="10">
        <f>INDEX('01_05_OMRI -5000'!$C4:$C398,MATCH($A8,'01_05_OMRI -5000'!$A4:$A398,0))</f>
        <v>6942</v>
      </c>
      <c r="X8" s="11">
        <f t="shared" si="10"/>
        <v>6942</v>
      </c>
      <c r="Y8" s="8">
        <f>W8</f>
        <v>6942</v>
      </c>
      <c r="Z8" s="1">
        <v>-3500</v>
      </c>
      <c r="AA8" s="11">
        <f t="shared" si="11"/>
        <v>-3500</v>
      </c>
      <c r="AB8" s="8">
        <f>Z8</f>
        <v>-3500</v>
      </c>
      <c r="AC8" s="15">
        <f>INDEX('01_05_OMRI -3500'!$B4:$B398,MATCH($A8,'01_05_OMRI -3500'!$A4:$A398,0))</f>
        <v>4165</v>
      </c>
      <c r="AD8" s="11">
        <f t="shared" si="12"/>
        <v>4165</v>
      </c>
      <c r="AE8" s="1">
        <f>AC8</f>
        <v>4165</v>
      </c>
      <c r="AF8" s="14">
        <f>INDEX('01_05_OMRI -3500'!$C4:$C398,MATCH($A8,'01_05_OMRI -3500'!$A4:$A398,0))</f>
        <v>5355</v>
      </c>
      <c r="AG8" s="11">
        <f t="shared" si="13"/>
        <v>5355</v>
      </c>
      <c r="AH8" s="8">
        <f>AF8</f>
        <v>5355</v>
      </c>
      <c r="AI8" s="12">
        <v>-2000</v>
      </c>
      <c r="AJ8" s="11">
        <f t="shared" si="14"/>
        <v>-2000</v>
      </c>
      <c r="AK8" s="1">
        <f>AI8</f>
        <v>-2000</v>
      </c>
      <c r="AL8" s="15">
        <f>INDEX('01_05_OMRI -2000'!$B4:$B398,MATCH($A8,'01_05_OMRI -2000'!$A4:$A398,0))</f>
        <v>2579</v>
      </c>
      <c r="AM8" s="11">
        <f t="shared" si="15"/>
        <v>2579</v>
      </c>
      <c r="AN8" s="1">
        <f>AL8</f>
        <v>2579</v>
      </c>
      <c r="AO8" s="14">
        <f>INDEX('01_05_OMRI -2000'!$C4:$C398,MATCH($A8,'01_05_OMRI -2000'!$A4:$A398,0))</f>
        <v>3570</v>
      </c>
      <c r="AP8" s="11">
        <f t="shared" si="16"/>
        <v>3570</v>
      </c>
      <c r="AQ8" s="8">
        <f>AO8</f>
        <v>3570</v>
      </c>
      <c r="AS8" s="16">
        <f t="shared" si="1"/>
        <v>0.58397337429595497</v>
      </c>
      <c r="AT8" s="16">
        <f t="shared" si="2"/>
        <v>0.54687253820702697</v>
      </c>
      <c r="AU8" s="16">
        <f t="shared" si="17"/>
        <v>0.5625</v>
      </c>
      <c r="AV8" s="16">
        <f t="shared" si="18"/>
        <v>0.58058220848918518</v>
      </c>
    </row>
    <row r="9" spans="1:48" ht="14.4" x14ac:dyDescent="0.55000000000000004">
      <c r="A9" s="9">
        <f t="shared" si="19"/>
        <v>46034</v>
      </c>
      <c r="B9" s="17">
        <f>INDEX('01_05_OMRI -2000'!$E$4:$E$393,MATCH($A9,'01_05_OMRI -2000'!$A$4:$A$393,0))</f>
        <v>69004</v>
      </c>
      <c r="C9" s="18"/>
      <c r="D9" s="1">
        <f t="shared" ref="D9:D24" si="22">B9</f>
        <v>69004</v>
      </c>
      <c r="E9" s="17">
        <f>INDEX('01_05_OMRI -2000'!$D$4:$D$393,MATCH($A9,'01_05_OMRI -2000'!$A$4:$A$393,0))</f>
        <v>2724</v>
      </c>
      <c r="F9" s="18"/>
      <c r="G9" s="1">
        <f>E9</f>
        <v>2724</v>
      </c>
      <c r="H9" s="19">
        <f t="shared" si="5"/>
        <v>-6250</v>
      </c>
      <c r="I9" s="18"/>
      <c r="J9" s="1">
        <f>H9</f>
        <v>-6250</v>
      </c>
      <c r="K9" s="20">
        <f>INDEX('01_05_OMRI -6250'!$B10:$B406,MATCH($A9,'01_05_OMRI -6250'!$A10:$A406,0))</f>
        <v>6400</v>
      </c>
      <c r="L9" s="18"/>
      <c r="M9" s="1">
        <f>K9</f>
        <v>6400</v>
      </c>
      <c r="N9" s="21">
        <f>INDEX('01_05_OMRI -6250'!$C10:$C406,MATCH($A9,'01_05_OMRI -6250'!$A10:$A406,0))</f>
        <v>8800</v>
      </c>
      <c r="O9" s="18"/>
      <c r="P9" s="8">
        <f>N9</f>
        <v>8800</v>
      </c>
      <c r="Q9" s="1">
        <v>-5000</v>
      </c>
      <c r="R9" s="18"/>
      <c r="S9" s="1">
        <f t="shared" si="20"/>
        <v>-5000</v>
      </c>
      <c r="T9" s="17">
        <f>INDEX('01_05_OMRI -5000'!$B4:$B399,MATCH($A9,'01_05_OMRI -5000'!$A4:$A399,0))</f>
        <v>5355</v>
      </c>
      <c r="U9" s="18"/>
      <c r="V9" s="1">
        <f t="shared" si="21"/>
        <v>5355</v>
      </c>
      <c r="W9" s="17">
        <f>INDEX('01_05_OMRI -5000'!$C4:$C399,MATCH($A9,'01_05_OMRI -5000'!$A4:$A399,0))</f>
        <v>6942</v>
      </c>
      <c r="X9" s="18"/>
      <c r="Y9" s="8">
        <f>W9</f>
        <v>6942</v>
      </c>
      <c r="Z9" s="1">
        <v>-3500</v>
      </c>
      <c r="AA9" s="18"/>
      <c r="AB9" s="8">
        <f>Z9</f>
        <v>-3500</v>
      </c>
      <c r="AC9" s="22">
        <f>INDEX('01_05_OMRI -3500'!$B4:$B399,MATCH($A9,'01_05_OMRI -3500'!$A4:$A399,0))</f>
        <v>3570</v>
      </c>
      <c r="AD9" s="18"/>
      <c r="AE9" s="1">
        <f>AC9</f>
        <v>3570</v>
      </c>
      <c r="AF9" s="21">
        <f>INDEX('01_05_OMRI -3500'!$C4:$C399,MATCH($A9,'01_05_OMRI -3500'!$A4:$A399,0))</f>
        <v>5355</v>
      </c>
      <c r="AG9" s="18"/>
      <c r="AH9" s="8">
        <f>AF9</f>
        <v>5355</v>
      </c>
      <c r="AI9" s="12">
        <v>-2000</v>
      </c>
      <c r="AJ9" s="18"/>
      <c r="AK9" s="1">
        <f>AI9</f>
        <v>-2000</v>
      </c>
      <c r="AL9" s="22">
        <f>INDEX('01_05_OMRI -2000'!$B4:$B399,MATCH($A9,'01_05_OMRI -2000'!$A4:$A399,0))</f>
        <v>2182</v>
      </c>
      <c r="AM9" s="18"/>
      <c r="AN9" s="1">
        <f>AL9</f>
        <v>2182</v>
      </c>
      <c r="AO9" s="21">
        <f>INDEX('01_05_OMRI -2000'!$C4:$C399,MATCH($A9,'01_05_OMRI -2000'!$A4:$A399,0))</f>
        <v>3570</v>
      </c>
      <c r="AP9" s="18"/>
      <c r="AQ9" s="8">
        <f>AO9</f>
        <v>3570</v>
      </c>
      <c r="AS9" s="16">
        <f t="shared" si="1"/>
        <v>0.57894736842105265</v>
      </c>
      <c r="AT9" s="16">
        <f t="shared" si="2"/>
        <v>0.56452793364235176</v>
      </c>
      <c r="AU9" s="16">
        <f t="shared" si="17"/>
        <v>0.6</v>
      </c>
      <c r="AV9" s="16">
        <f t="shared" si="18"/>
        <v>0.62065368567454793</v>
      </c>
    </row>
    <row r="10" spans="1:48" ht="14.4" x14ac:dyDescent="0.55000000000000004">
      <c r="A10" s="9">
        <f t="shared" si="19"/>
        <v>46035</v>
      </c>
      <c r="B10" s="17">
        <f>INDEX('01_05_OMRI -2000'!$E$4:$E$393,MATCH($A10,'01_05_OMRI -2000'!$A$4:$A$393,0))</f>
        <v>66245</v>
      </c>
      <c r="C10" s="18"/>
      <c r="D10" s="1">
        <f t="shared" si="22"/>
        <v>66245</v>
      </c>
      <c r="E10" s="17">
        <f>INDEX('01_05_OMRI -2000'!$D$4:$D$393,MATCH($A10,'01_05_OMRI -2000'!$A$4:$A$393,0))</f>
        <v>2551</v>
      </c>
      <c r="F10" s="18"/>
      <c r="G10" s="1">
        <f t="shared" ref="G10:G24" si="23">E10</f>
        <v>2551</v>
      </c>
      <c r="H10" s="19">
        <f t="shared" si="5"/>
        <v>-6250</v>
      </c>
      <c r="I10" s="18"/>
      <c r="J10" s="1">
        <f t="shared" ref="J10:J24" si="24">H10</f>
        <v>-6250</v>
      </c>
      <c r="K10" s="20">
        <f>INDEX('01_05_OMRI -6250'!$B11:$B407,MATCH($A10,'01_05_OMRI -6250'!$A11:$A407,0))</f>
        <v>6400</v>
      </c>
      <c r="L10" s="18"/>
      <c r="M10" s="1">
        <f t="shared" ref="M10:M24" si="25">K10</f>
        <v>6400</v>
      </c>
      <c r="N10" s="21">
        <f>INDEX('01_05_OMRI -6250'!$C11:$C407,MATCH($A10,'01_05_OMRI -6250'!$A11:$A407,0))</f>
        <v>8800</v>
      </c>
      <c r="O10" s="18"/>
      <c r="P10" s="8">
        <f t="shared" ref="P10:P24" si="26">N10</f>
        <v>8800</v>
      </c>
      <c r="Q10" s="1">
        <v>-5000</v>
      </c>
      <c r="R10" s="18"/>
      <c r="S10" s="1">
        <f t="shared" si="20"/>
        <v>-5000</v>
      </c>
      <c r="T10" s="17">
        <f>INDEX('01_05_OMRI -5000'!$B4:$B400,MATCH($A10,'01_05_OMRI -5000'!$A4:$A400,0))</f>
        <v>5355</v>
      </c>
      <c r="U10" s="18"/>
      <c r="V10" s="1">
        <f t="shared" si="21"/>
        <v>5355</v>
      </c>
      <c r="W10" s="17">
        <f>INDEX('01_05_OMRI -5000'!$C4:$C400,MATCH($A10,'01_05_OMRI -5000'!$A4:$A400,0))</f>
        <v>6942</v>
      </c>
      <c r="X10" s="18"/>
      <c r="Y10" s="8">
        <f t="shared" ref="Y10:Y24" si="27">W10</f>
        <v>6942</v>
      </c>
      <c r="Z10" s="1">
        <v>-3500</v>
      </c>
      <c r="AA10" s="18"/>
      <c r="AB10" s="8">
        <f t="shared" ref="AB10:AB24" si="28">Z10</f>
        <v>-3500</v>
      </c>
      <c r="AC10" s="22">
        <f>INDEX('01_05_OMRI -3500'!$B4:$B400,MATCH($A10,'01_05_OMRI -3500'!$A4:$A400,0))</f>
        <v>3570</v>
      </c>
      <c r="AD10" s="18"/>
      <c r="AE10" s="1">
        <f t="shared" ref="AE10:AE24" si="29">AC10</f>
        <v>3570</v>
      </c>
      <c r="AF10" s="21">
        <f>INDEX('01_05_OMRI -3500'!$C4:$C400,MATCH($A10,'01_05_OMRI -3500'!$A4:$A400,0))</f>
        <v>5355</v>
      </c>
      <c r="AG10" s="18"/>
      <c r="AH10" s="8">
        <f t="shared" ref="AH10:AH24" si="30">AF10</f>
        <v>5355</v>
      </c>
      <c r="AI10" s="12">
        <v>-2000</v>
      </c>
      <c r="AJ10" s="18"/>
      <c r="AK10" s="1">
        <f t="shared" ref="AK10:AK24" si="31">AI10</f>
        <v>-2000</v>
      </c>
      <c r="AL10" s="22">
        <f>INDEX('01_05_OMRI -2000'!$B4:$B400,MATCH($A10,'01_05_OMRI -2000'!$A4:$A400,0))</f>
        <v>2182</v>
      </c>
      <c r="AM10" s="18"/>
      <c r="AN10" s="1">
        <f t="shared" ref="AN10:AN24" si="32">AL10</f>
        <v>2182</v>
      </c>
      <c r="AO10" s="21">
        <f>INDEX('01_05_OMRI -2000'!$C4:$C400,MATCH($A10,'01_05_OMRI -2000'!$A4:$A400,0))</f>
        <v>3570</v>
      </c>
      <c r="AP10" s="18"/>
      <c r="AQ10" s="8">
        <f t="shared" ref="AQ10:AQ24" si="33">AO10</f>
        <v>3570</v>
      </c>
      <c r="AS10" s="16">
        <f t="shared" si="1"/>
        <v>0.57894736842105265</v>
      </c>
      <c r="AT10" s="16">
        <f t="shared" si="2"/>
        <v>0.56452793364235176</v>
      </c>
      <c r="AU10" s="16">
        <f t="shared" si="17"/>
        <v>0.6</v>
      </c>
      <c r="AV10" s="16">
        <f t="shared" si="18"/>
        <v>0.62065368567454793</v>
      </c>
    </row>
    <row r="11" spans="1:48" ht="14.4" x14ac:dyDescent="0.55000000000000004">
      <c r="A11" s="9">
        <f t="shared" si="19"/>
        <v>46036</v>
      </c>
      <c r="B11" s="17">
        <f>INDEX('01_05_OMRI -2000'!$E$4:$E$393,MATCH($A11,'01_05_OMRI -2000'!$A$4:$A$393,0))</f>
        <v>62756</v>
      </c>
      <c r="C11" s="18"/>
      <c r="D11" s="1">
        <f t="shared" si="22"/>
        <v>62756</v>
      </c>
      <c r="E11" s="17">
        <f>INDEX('01_05_OMRI -2000'!$D$4:$D$393,MATCH($A11,'01_05_OMRI -2000'!$A$4:$A$393,0))</f>
        <v>2551</v>
      </c>
      <c r="F11" s="18"/>
      <c r="G11" s="1">
        <f t="shared" si="23"/>
        <v>2551</v>
      </c>
      <c r="H11" s="19">
        <f t="shared" si="5"/>
        <v>-6250</v>
      </c>
      <c r="I11" s="18"/>
      <c r="J11" s="1">
        <f t="shared" si="24"/>
        <v>-6250</v>
      </c>
      <c r="K11" s="20">
        <f>INDEX('01_05_OMRI -6250'!$B12:$B408,MATCH($A11,'01_05_OMRI -6250'!$A12:$A408,0))</f>
        <v>6400</v>
      </c>
      <c r="L11" s="18"/>
      <c r="M11" s="1">
        <f t="shared" si="25"/>
        <v>6400</v>
      </c>
      <c r="N11" s="21">
        <f>INDEX('01_05_OMRI -6250'!$C12:$C408,MATCH($A11,'01_05_OMRI -6250'!$A12:$A408,0))</f>
        <v>8800</v>
      </c>
      <c r="O11" s="18"/>
      <c r="P11" s="8">
        <f t="shared" si="26"/>
        <v>8800</v>
      </c>
      <c r="Q11" s="1">
        <v>-5000</v>
      </c>
      <c r="R11" s="18"/>
      <c r="S11" s="1">
        <f t="shared" si="20"/>
        <v>-5000</v>
      </c>
      <c r="T11" s="17">
        <f>INDEX('01_05_OMRI -5000'!$B5:$B401,MATCH($A11,'01_05_OMRI -5000'!$A5:$A401,0))</f>
        <v>5355</v>
      </c>
      <c r="U11" s="18"/>
      <c r="V11" s="1">
        <f t="shared" si="21"/>
        <v>5355</v>
      </c>
      <c r="W11" s="17">
        <f>INDEX('01_05_OMRI -5000'!$C5:$C401,MATCH($A11,'01_05_OMRI -5000'!$A5:$A401,0))</f>
        <v>6942</v>
      </c>
      <c r="X11" s="18"/>
      <c r="Y11" s="8">
        <f t="shared" si="27"/>
        <v>6942</v>
      </c>
      <c r="Z11" s="1">
        <v>-3500</v>
      </c>
      <c r="AA11" s="18"/>
      <c r="AB11" s="8">
        <f t="shared" si="28"/>
        <v>-3500</v>
      </c>
      <c r="AC11" s="22">
        <f>INDEX('01_05_OMRI -3500'!$B5:$B401,MATCH($A11,'01_05_OMRI -3500'!$A5:$A401,0))</f>
        <v>3570</v>
      </c>
      <c r="AD11" s="18"/>
      <c r="AE11" s="1">
        <f t="shared" si="29"/>
        <v>3570</v>
      </c>
      <c r="AF11" s="21">
        <f>INDEX('01_05_OMRI -3500'!$C5:$C401,MATCH($A11,'01_05_OMRI -3500'!$A5:$A401,0))</f>
        <v>5355</v>
      </c>
      <c r="AG11" s="18"/>
      <c r="AH11" s="8">
        <f t="shared" si="30"/>
        <v>5355</v>
      </c>
      <c r="AI11" s="12">
        <v>-2000</v>
      </c>
      <c r="AJ11" s="18"/>
      <c r="AK11" s="1">
        <f t="shared" si="31"/>
        <v>-2000</v>
      </c>
      <c r="AL11" s="22">
        <f>INDEX('01_05_OMRI -2000'!$B5:$B401,MATCH($A11,'01_05_OMRI -2000'!$A5:$A401,0))</f>
        <v>2182</v>
      </c>
      <c r="AM11" s="18"/>
      <c r="AN11" s="1">
        <f t="shared" si="32"/>
        <v>2182</v>
      </c>
      <c r="AO11" s="21">
        <f>INDEX('01_05_OMRI -2000'!$C5:$C401,MATCH($A11,'01_05_OMRI -2000'!$A5:$A401,0))</f>
        <v>3570</v>
      </c>
      <c r="AP11" s="18"/>
      <c r="AQ11" s="8">
        <f t="shared" si="33"/>
        <v>3570</v>
      </c>
      <c r="AS11" s="16">
        <f t="shared" si="1"/>
        <v>0.57894736842105265</v>
      </c>
      <c r="AT11" s="16">
        <f t="shared" si="2"/>
        <v>0.56452793364235176</v>
      </c>
      <c r="AU11" s="16">
        <f t="shared" si="17"/>
        <v>0.6</v>
      </c>
      <c r="AV11" s="16">
        <f t="shared" si="18"/>
        <v>0.62065368567454793</v>
      </c>
    </row>
    <row r="12" spans="1:48" ht="14.4" x14ac:dyDescent="0.55000000000000004">
      <c r="A12" s="9">
        <f t="shared" si="19"/>
        <v>46037</v>
      </c>
      <c r="B12" s="17">
        <f>INDEX('01_05_OMRI -2000'!$E$4:$E$393,MATCH($A12,'01_05_OMRI -2000'!$A$4:$A$393,0))</f>
        <v>62756</v>
      </c>
      <c r="C12" s="18"/>
      <c r="D12" s="1">
        <f t="shared" si="22"/>
        <v>62756</v>
      </c>
      <c r="E12" s="17">
        <f>INDEX('01_05_OMRI -2000'!$D$4:$D$393,MATCH($A12,'01_05_OMRI -2000'!$A$4:$A$393,0))</f>
        <v>2551</v>
      </c>
      <c r="F12" s="18"/>
      <c r="G12" s="1">
        <f t="shared" si="23"/>
        <v>2551</v>
      </c>
      <c r="H12" s="19">
        <f t="shared" si="5"/>
        <v>-6250</v>
      </c>
      <c r="I12" s="18"/>
      <c r="J12" s="1">
        <f t="shared" si="24"/>
        <v>-6250</v>
      </c>
      <c r="K12" s="20">
        <f>INDEX('01_05_OMRI -6250'!$B13:$B409,MATCH($A12,'01_05_OMRI -6250'!$A13:$A409,0))</f>
        <v>6400</v>
      </c>
      <c r="L12" s="18"/>
      <c r="M12" s="1">
        <f t="shared" si="25"/>
        <v>6400</v>
      </c>
      <c r="N12" s="21">
        <f>INDEX('01_05_OMRI -6250'!$C13:$C409,MATCH($A12,'01_05_OMRI -6250'!$A13:$A409,0))</f>
        <v>8800</v>
      </c>
      <c r="O12" s="18"/>
      <c r="P12" s="8">
        <f t="shared" si="26"/>
        <v>8800</v>
      </c>
      <c r="Q12" s="1">
        <v>-5000</v>
      </c>
      <c r="R12" s="18"/>
      <c r="S12" s="1">
        <f t="shared" si="20"/>
        <v>-5000</v>
      </c>
      <c r="T12" s="17">
        <f>INDEX('01_05_OMRI -5000'!$B6:$B402,MATCH($A12,'01_05_OMRI -5000'!$A6:$A402,0))</f>
        <v>5355</v>
      </c>
      <c r="U12" s="18"/>
      <c r="V12" s="1">
        <f t="shared" si="21"/>
        <v>5355</v>
      </c>
      <c r="W12" s="17">
        <f>INDEX('01_05_OMRI -5000'!$C6:$C402,MATCH($A12,'01_05_OMRI -5000'!$A6:$A402,0))</f>
        <v>6942</v>
      </c>
      <c r="X12" s="18"/>
      <c r="Y12" s="8">
        <f t="shared" si="27"/>
        <v>6942</v>
      </c>
      <c r="Z12" s="1">
        <v>-3500</v>
      </c>
      <c r="AA12" s="18"/>
      <c r="AB12" s="8">
        <f t="shared" si="28"/>
        <v>-3500</v>
      </c>
      <c r="AC12" s="22">
        <f>INDEX('01_05_OMRI -3500'!$B6:$B402,MATCH($A12,'01_05_OMRI -3500'!$A6:$A402,0))</f>
        <v>3570</v>
      </c>
      <c r="AD12" s="18"/>
      <c r="AE12" s="1">
        <f t="shared" si="29"/>
        <v>3570</v>
      </c>
      <c r="AF12" s="21">
        <f>INDEX('01_05_OMRI -3500'!$C6:$C402,MATCH($A12,'01_05_OMRI -3500'!$A6:$A402,0))</f>
        <v>5355</v>
      </c>
      <c r="AG12" s="18"/>
      <c r="AH12" s="8">
        <f t="shared" si="30"/>
        <v>5355</v>
      </c>
      <c r="AI12" s="12">
        <v>-2000</v>
      </c>
      <c r="AJ12" s="18"/>
      <c r="AK12" s="1">
        <f t="shared" si="31"/>
        <v>-2000</v>
      </c>
      <c r="AL12" s="22">
        <f>INDEX('01_05_OMRI -2000'!$B6:$B402,MATCH($A12,'01_05_OMRI -2000'!$A6:$A402,0))</f>
        <v>2182</v>
      </c>
      <c r="AM12" s="18"/>
      <c r="AN12" s="1">
        <f t="shared" si="32"/>
        <v>2182</v>
      </c>
      <c r="AO12" s="21">
        <f>INDEX('01_05_OMRI -2000'!$C6:$C402,MATCH($A12,'01_05_OMRI -2000'!$A6:$A402,0))</f>
        <v>3570</v>
      </c>
      <c r="AP12" s="18"/>
      <c r="AQ12" s="8">
        <f t="shared" si="33"/>
        <v>3570</v>
      </c>
      <c r="AS12" s="16">
        <f t="shared" si="1"/>
        <v>0.57894736842105265</v>
      </c>
      <c r="AT12" s="16">
        <f t="shared" si="2"/>
        <v>0.56452793364235176</v>
      </c>
      <c r="AU12" s="16">
        <f t="shared" si="17"/>
        <v>0.6</v>
      </c>
      <c r="AV12" s="16">
        <f t="shared" si="18"/>
        <v>0.62065368567454793</v>
      </c>
    </row>
    <row r="13" spans="1:48" ht="14.4" x14ac:dyDescent="0.55000000000000004">
      <c r="A13" s="9">
        <f t="shared" si="19"/>
        <v>46038</v>
      </c>
      <c r="B13" s="17">
        <f>INDEX('01_05_OMRI -2000'!$E$4:$E$393,MATCH($A13,'01_05_OMRI -2000'!$A$4:$A$393,0))</f>
        <v>62756</v>
      </c>
      <c r="C13" s="18"/>
      <c r="D13" s="1">
        <f t="shared" si="22"/>
        <v>62756</v>
      </c>
      <c r="E13" s="17">
        <f>INDEX('01_05_OMRI -2000'!$D$4:$D$393,MATCH($A13,'01_05_OMRI -2000'!$A$4:$A$393,0))</f>
        <v>2552</v>
      </c>
      <c r="F13" s="18"/>
      <c r="G13" s="1">
        <f t="shared" si="23"/>
        <v>2552</v>
      </c>
      <c r="H13" s="19">
        <f t="shared" si="5"/>
        <v>-6250</v>
      </c>
      <c r="I13" s="18"/>
      <c r="J13" s="1">
        <f t="shared" si="24"/>
        <v>-6250</v>
      </c>
      <c r="K13" s="20">
        <f>INDEX('01_05_OMRI -6250'!$B14:$B410,MATCH($A13,'01_05_OMRI -6250'!$A14:$A410,0))</f>
        <v>6400</v>
      </c>
      <c r="L13" s="18"/>
      <c r="M13" s="1">
        <f t="shared" si="25"/>
        <v>6400</v>
      </c>
      <c r="N13" s="21">
        <f>INDEX('01_05_OMRI -6250'!$C14:$C410,MATCH($A13,'01_05_OMRI -6250'!$A14:$A410,0))</f>
        <v>8800</v>
      </c>
      <c r="O13" s="18"/>
      <c r="P13" s="8">
        <f t="shared" si="26"/>
        <v>8800</v>
      </c>
      <c r="Q13" s="1">
        <v>-5000</v>
      </c>
      <c r="R13" s="18"/>
      <c r="S13" s="1">
        <f t="shared" si="20"/>
        <v>-5000</v>
      </c>
      <c r="T13" s="17">
        <f>INDEX('01_05_OMRI -5000'!$B7:$B403,MATCH($A13,'01_05_OMRI -5000'!$A7:$A403,0))</f>
        <v>5355</v>
      </c>
      <c r="U13" s="18"/>
      <c r="V13" s="1">
        <f t="shared" si="21"/>
        <v>5355</v>
      </c>
      <c r="W13" s="17">
        <f>INDEX('01_05_OMRI -5000'!$C7:$C403,MATCH($A13,'01_05_OMRI -5000'!$A7:$A403,0))</f>
        <v>6942</v>
      </c>
      <c r="X13" s="18"/>
      <c r="Y13" s="8">
        <f t="shared" si="27"/>
        <v>6942</v>
      </c>
      <c r="Z13" s="1">
        <v>-3500</v>
      </c>
      <c r="AA13" s="18"/>
      <c r="AB13" s="8">
        <f t="shared" si="28"/>
        <v>-3500</v>
      </c>
      <c r="AC13" s="22">
        <f>INDEX('01_05_OMRI -3500'!$B7:$B403,MATCH($A13,'01_05_OMRI -3500'!$A7:$A403,0))</f>
        <v>3570</v>
      </c>
      <c r="AD13" s="18"/>
      <c r="AE13" s="1">
        <f t="shared" si="29"/>
        <v>3570</v>
      </c>
      <c r="AF13" s="21">
        <f>INDEX('01_05_OMRI -3500'!$C7:$C403,MATCH($A13,'01_05_OMRI -3500'!$A7:$A403,0))</f>
        <v>5355</v>
      </c>
      <c r="AG13" s="18"/>
      <c r="AH13" s="8">
        <f t="shared" si="30"/>
        <v>5355</v>
      </c>
      <c r="AI13" s="12">
        <v>-2000</v>
      </c>
      <c r="AJ13" s="18"/>
      <c r="AK13" s="1">
        <f t="shared" si="31"/>
        <v>-2000</v>
      </c>
      <c r="AL13" s="22">
        <f>INDEX('01_05_OMRI -2000'!$B7:$B403,MATCH($A13,'01_05_OMRI -2000'!$A7:$A403,0))</f>
        <v>2182</v>
      </c>
      <c r="AM13" s="18"/>
      <c r="AN13" s="1">
        <f t="shared" si="32"/>
        <v>2182</v>
      </c>
      <c r="AO13" s="21">
        <f>INDEX('01_05_OMRI -2000'!$C7:$C403,MATCH($A13,'01_05_OMRI -2000'!$A7:$A403,0))</f>
        <v>3570</v>
      </c>
      <c r="AP13" s="18"/>
      <c r="AQ13" s="8">
        <f t="shared" si="33"/>
        <v>3570</v>
      </c>
      <c r="AS13" s="16">
        <f t="shared" si="1"/>
        <v>0.57894736842105265</v>
      </c>
      <c r="AT13" s="16">
        <f t="shared" si="2"/>
        <v>0.56452793364235176</v>
      </c>
      <c r="AU13" s="16">
        <f t="shared" si="17"/>
        <v>0.6</v>
      </c>
      <c r="AV13" s="16">
        <f t="shared" si="18"/>
        <v>0.62065368567454793</v>
      </c>
    </row>
    <row r="14" spans="1:48" ht="14.4" x14ac:dyDescent="0.55000000000000004">
      <c r="A14" s="9">
        <f t="shared" si="19"/>
        <v>46039</v>
      </c>
      <c r="B14" s="17">
        <f>INDEX('01_05_OMRI -2000'!$E$4:$E$393,MATCH($A14,'01_05_OMRI -2000'!$A$4:$A$393,0))</f>
        <v>62756</v>
      </c>
      <c r="C14" s="18"/>
      <c r="D14" s="1">
        <f t="shared" si="22"/>
        <v>62756</v>
      </c>
      <c r="E14" s="17">
        <f>INDEX('01_05_OMRI -2000'!$D$4:$D$393,MATCH($A14,'01_05_OMRI -2000'!$A$4:$A$393,0))</f>
        <v>2552</v>
      </c>
      <c r="F14" s="18"/>
      <c r="G14" s="1">
        <f t="shared" si="23"/>
        <v>2552</v>
      </c>
      <c r="H14" s="19">
        <f t="shared" si="5"/>
        <v>-6250</v>
      </c>
      <c r="I14" s="18"/>
      <c r="J14" s="1">
        <f t="shared" si="24"/>
        <v>-6250</v>
      </c>
      <c r="K14" s="20">
        <f>INDEX('01_05_OMRI -6250'!$B15:$B411,MATCH($A14,'01_05_OMRI -6250'!$A15:$A411,0))</f>
        <v>6400</v>
      </c>
      <c r="L14" s="18"/>
      <c r="M14" s="1">
        <f t="shared" si="25"/>
        <v>6400</v>
      </c>
      <c r="N14" s="21">
        <f>INDEX('01_05_OMRI -6250'!$C15:$C411,MATCH($A14,'01_05_OMRI -6250'!$A15:$A411,0))</f>
        <v>8800</v>
      </c>
      <c r="O14" s="18"/>
      <c r="P14" s="8">
        <f t="shared" si="26"/>
        <v>8800</v>
      </c>
      <c r="Q14" s="1">
        <v>-5000</v>
      </c>
      <c r="R14" s="18"/>
      <c r="S14" s="1">
        <f t="shared" si="20"/>
        <v>-5000</v>
      </c>
      <c r="T14" s="17">
        <f>INDEX('01_05_OMRI -5000'!$B8:$B404,MATCH($A14,'01_05_OMRI -5000'!$A8:$A404,0))</f>
        <v>5355</v>
      </c>
      <c r="U14" s="18"/>
      <c r="V14" s="1">
        <f t="shared" si="21"/>
        <v>5355</v>
      </c>
      <c r="W14" s="17">
        <f>INDEX('01_05_OMRI -5000'!$C8:$C404,MATCH($A14,'01_05_OMRI -5000'!$A8:$A404,0))</f>
        <v>6942</v>
      </c>
      <c r="X14" s="18"/>
      <c r="Y14" s="8">
        <f t="shared" si="27"/>
        <v>6942</v>
      </c>
      <c r="Z14" s="1">
        <v>-3500</v>
      </c>
      <c r="AA14" s="18"/>
      <c r="AB14" s="8">
        <f t="shared" si="28"/>
        <v>-3500</v>
      </c>
      <c r="AC14" s="22">
        <f>INDEX('01_05_OMRI -3500'!$B8:$B404,MATCH($A14,'01_05_OMRI -3500'!$A8:$A404,0))</f>
        <v>3570</v>
      </c>
      <c r="AD14" s="18"/>
      <c r="AE14" s="1">
        <f t="shared" si="29"/>
        <v>3570</v>
      </c>
      <c r="AF14" s="21">
        <f>INDEX('01_05_OMRI -3500'!$C8:$C404,MATCH($A14,'01_05_OMRI -3500'!$A8:$A404,0))</f>
        <v>5355</v>
      </c>
      <c r="AG14" s="18"/>
      <c r="AH14" s="8">
        <f t="shared" si="30"/>
        <v>5355</v>
      </c>
      <c r="AI14" s="12">
        <v>-2000</v>
      </c>
      <c r="AJ14" s="18"/>
      <c r="AK14" s="1">
        <f t="shared" si="31"/>
        <v>-2000</v>
      </c>
      <c r="AL14" s="22">
        <f>INDEX('01_05_OMRI -2000'!$B8:$B404,MATCH($A14,'01_05_OMRI -2000'!$A8:$A404,0))</f>
        <v>2182</v>
      </c>
      <c r="AM14" s="18"/>
      <c r="AN14" s="1">
        <f t="shared" si="32"/>
        <v>2182</v>
      </c>
      <c r="AO14" s="21">
        <f>INDEX('01_05_OMRI -2000'!$C8:$C404,MATCH($A14,'01_05_OMRI -2000'!$A8:$A404,0))</f>
        <v>3570</v>
      </c>
      <c r="AP14" s="18"/>
      <c r="AQ14" s="8">
        <f t="shared" si="33"/>
        <v>3570</v>
      </c>
      <c r="AS14" s="16">
        <f t="shared" si="1"/>
        <v>0.57894736842105265</v>
      </c>
      <c r="AT14" s="16">
        <f t="shared" si="2"/>
        <v>0.56452793364235176</v>
      </c>
      <c r="AU14" s="16">
        <f t="shared" si="17"/>
        <v>0.6</v>
      </c>
      <c r="AV14" s="16">
        <f t="shared" si="18"/>
        <v>0.62065368567454793</v>
      </c>
    </row>
    <row r="15" spans="1:48" ht="14.4" x14ac:dyDescent="0.55000000000000004">
      <c r="A15" s="9">
        <f t="shared" si="19"/>
        <v>46040</v>
      </c>
      <c r="B15" s="17">
        <f>INDEX('01_05_OMRI -2000'!$E$4:$E$393,MATCH($A15,'01_05_OMRI -2000'!$A$4:$A$393,0))</f>
        <v>62756</v>
      </c>
      <c r="C15" s="18"/>
      <c r="D15" s="1">
        <f t="shared" si="22"/>
        <v>62756</v>
      </c>
      <c r="E15" s="17">
        <f>INDEX('01_05_OMRI -2000'!$D$4:$D$393,MATCH($A15,'01_05_OMRI -2000'!$A$4:$A$393,0))</f>
        <v>2553</v>
      </c>
      <c r="F15" s="18"/>
      <c r="G15" s="1">
        <f t="shared" si="23"/>
        <v>2553</v>
      </c>
      <c r="H15" s="19">
        <f t="shared" si="5"/>
        <v>-6250</v>
      </c>
      <c r="I15" s="18"/>
      <c r="J15" s="1">
        <f t="shared" si="24"/>
        <v>-6250</v>
      </c>
      <c r="K15" s="20">
        <f>INDEX('01_05_OMRI -6250'!$B16:$B412,MATCH($A15,'01_05_OMRI -6250'!$A16:$A412,0))</f>
        <v>6400</v>
      </c>
      <c r="L15" s="18"/>
      <c r="M15" s="1">
        <f t="shared" si="25"/>
        <v>6400</v>
      </c>
      <c r="N15" s="21">
        <f>INDEX('01_05_OMRI -6250'!$C16:$C412,MATCH($A15,'01_05_OMRI -6250'!$A16:$A412,0))</f>
        <v>8800</v>
      </c>
      <c r="O15" s="18"/>
      <c r="P15" s="8">
        <f t="shared" si="26"/>
        <v>8800</v>
      </c>
      <c r="Q15" s="1">
        <v>-5000</v>
      </c>
      <c r="R15" s="18"/>
      <c r="S15" s="1">
        <f t="shared" si="20"/>
        <v>-5000</v>
      </c>
      <c r="T15" s="17">
        <f>INDEX('01_05_OMRI -5000'!$B9:$B405,MATCH($A15,'01_05_OMRI -5000'!$A9:$A405,0))</f>
        <v>5355</v>
      </c>
      <c r="U15" s="18"/>
      <c r="V15" s="1">
        <f t="shared" si="21"/>
        <v>5355</v>
      </c>
      <c r="W15" s="17">
        <f>INDEX('01_05_OMRI -5000'!$C9:$C405,MATCH($A15,'01_05_OMRI -5000'!$A9:$A405,0))</f>
        <v>6942</v>
      </c>
      <c r="X15" s="18"/>
      <c r="Y15" s="8">
        <f t="shared" si="27"/>
        <v>6942</v>
      </c>
      <c r="Z15" s="1">
        <v>-3500</v>
      </c>
      <c r="AA15" s="18"/>
      <c r="AB15" s="8">
        <f t="shared" si="28"/>
        <v>-3500</v>
      </c>
      <c r="AC15" s="22">
        <f>INDEX('01_05_OMRI -3500'!$B9:$B405,MATCH($A15,'01_05_OMRI -3500'!$A9:$A405,0))</f>
        <v>3570</v>
      </c>
      <c r="AD15" s="18"/>
      <c r="AE15" s="1">
        <f t="shared" si="29"/>
        <v>3570</v>
      </c>
      <c r="AF15" s="21">
        <f>INDEX('01_05_OMRI -3500'!$C9:$C405,MATCH($A15,'01_05_OMRI -3500'!$A9:$A405,0))</f>
        <v>5355</v>
      </c>
      <c r="AG15" s="18"/>
      <c r="AH15" s="8">
        <f t="shared" si="30"/>
        <v>5355</v>
      </c>
      <c r="AI15" s="12">
        <v>-2000</v>
      </c>
      <c r="AJ15" s="18"/>
      <c r="AK15" s="1">
        <f t="shared" si="31"/>
        <v>-2000</v>
      </c>
      <c r="AL15" s="22">
        <f>INDEX('01_05_OMRI -2000'!$B9:$B405,MATCH($A15,'01_05_OMRI -2000'!$A9:$A405,0))</f>
        <v>2182</v>
      </c>
      <c r="AM15" s="18"/>
      <c r="AN15" s="1">
        <f t="shared" si="32"/>
        <v>2182</v>
      </c>
      <c r="AO15" s="21">
        <f>INDEX('01_05_OMRI -2000'!$C9:$C405,MATCH($A15,'01_05_OMRI -2000'!$A9:$A405,0))</f>
        <v>3570</v>
      </c>
      <c r="AP15" s="18"/>
      <c r="AQ15" s="8">
        <f t="shared" si="33"/>
        <v>3570</v>
      </c>
      <c r="AS15" s="16">
        <f t="shared" si="1"/>
        <v>0.57894736842105265</v>
      </c>
      <c r="AT15" s="16">
        <f t="shared" si="2"/>
        <v>0.56452793364235176</v>
      </c>
      <c r="AU15" s="16">
        <f t="shared" si="17"/>
        <v>0.6</v>
      </c>
      <c r="AV15" s="16">
        <f t="shared" si="18"/>
        <v>0.62065368567454793</v>
      </c>
    </row>
    <row r="16" spans="1:48" ht="14.4" x14ac:dyDescent="0.55000000000000004">
      <c r="A16" s="9">
        <f t="shared" si="19"/>
        <v>46041</v>
      </c>
      <c r="B16" s="17">
        <f>INDEX('01_05_OMRI -2000'!$E$4:$E$393,MATCH($A16,'01_05_OMRI -2000'!$A$4:$A$393,0))</f>
        <v>62756</v>
      </c>
      <c r="C16" s="18"/>
      <c r="D16" s="1">
        <f t="shared" si="22"/>
        <v>62756</v>
      </c>
      <c r="E16" s="17">
        <f>INDEX('01_05_OMRI -2000'!$D$4:$D$393,MATCH($A16,'01_05_OMRI -2000'!$A$4:$A$393,0))</f>
        <v>2553</v>
      </c>
      <c r="F16" s="18"/>
      <c r="G16" s="1">
        <f t="shared" si="23"/>
        <v>2553</v>
      </c>
      <c r="H16" s="19">
        <f t="shared" si="5"/>
        <v>-6250</v>
      </c>
      <c r="I16" s="18"/>
      <c r="J16" s="1">
        <f t="shared" si="24"/>
        <v>-6250</v>
      </c>
      <c r="K16" s="20">
        <f>INDEX('01_05_OMRI -6250'!$B17:$B413,MATCH($A16,'01_05_OMRI -6250'!$A17:$A413,0))</f>
        <v>6400</v>
      </c>
      <c r="L16" s="18"/>
      <c r="M16" s="1">
        <f t="shared" si="25"/>
        <v>6400</v>
      </c>
      <c r="N16" s="21">
        <f>INDEX('01_05_OMRI -6250'!$C17:$C413,MATCH($A16,'01_05_OMRI -6250'!$A17:$A413,0))</f>
        <v>8800</v>
      </c>
      <c r="O16" s="18"/>
      <c r="P16" s="8">
        <f t="shared" si="26"/>
        <v>8800</v>
      </c>
      <c r="Q16" s="1">
        <v>-5000</v>
      </c>
      <c r="R16" s="18"/>
      <c r="S16" s="1">
        <f t="shared" si="20"/>
        <v>-5000</v>
      </c>
      <c r="T16" s="17">
        <f>INDEX('01_05_OMRI -5000'!$B10:$B406,MATCH($A16,'01_05_OMRI -5000'!$A10:$A406,0))</f>
        <v>5355</v>
      </c>
      <c r="U16" s="18"/>
      <c r="V16" s="1">
        <f t="shared" si="21"/>
        <v>5355</v>
      </c>
      <c r="W16" s="17">
        <f>INDEX('01_05_OMRI -5000'!$C10:$C406,MATCH($A16,'01_05_OMRI -5000'!$A10:$A406,0))</f>
        <v>6942</v>
      </c>
      <c r="X16" s="18"/>
      <c r="Y16" s="8">
        <f t="shared" si="27"/>
        <v>6942</v>
      </c>
      <c r="Z16" s="1">
        <v>-3500</v>
      </c>
      <c r="AA16" s="18"/>
      <c r="AB16" s="8">
        <f t="shared" si="28"/>
        <v>-3500</v>
      </c>
      <c r="AC16" s="22">
        <f>INDEX('01_05_OMRI -3500'!$B10:$B406,MATCH($A16,'01_05_OMRI -3500'!$A10:$A406,0))</f>
        <v>3570</v>
      </c>
      <c r="AD16" s="18"/>
      <c r="AE16" s="1">
        <f t="shared" si="29"/>
        <v>3570</v>
      </c>
      <c r="AF16" s="21">
        <f>INDEX('01_05_OMRI -3500'!$C10:$C406,MATCH($A16,'01_05_OMRI -3500'!$A10:$A406,0))</f>
        <v>5355</v>
      </c>
      <c r="AG16" s="18"/>
      <c r="AH16" s="8">
        <f t="shared" si="30"/>
        <v>5355</v>
      </c>
      <c r="AI16" s="12">
        <v>-2000</v>
      </c>
      <c r="AJ16" s="18"/>
      <c r="AK16" s="1">
        <f t="shared" si="31"/>
        <v>-2000</v>
      </c>
      <c r="AL16" s="22">
        <f>INDEX('01_05_OMRI -2000'!$B10:$B406,MATCH($A16,'01_05_OMRI -2000'!$A10:$A406,0))</f>
        <v>2182</v>
      </c>
      <c r="AM16" s="18"/>
      <c r="AN16" s="1">
        <f t="shared" si="32"/>
        <v>2182</v>
      </c>
      <c r="AO16" s="21">
        <f>INDEX('01_05_OMRI -2000'!$C10:$C406,MATCH($A16,'01_05_OMRI -2000'!$A10:$A406,0))</f>
        <v>3570</v>
      </c>
      <c r="AP16" s="18"/>
      <c r="AQ16" s="8">
        <f t="shared" si="33"/>
        <v>3570</v>
      </c>
      <c r="AS16" s="16">
        <f t="shared" si="1"/>
        <v>0.57894736842105265</v>
      </c>
      <c r="AT16" s="16">
        <f t="shared" si="2"/>
        <v>0.56452793364235176</v>
      </c>
      <c r="AU16" s="16">
        <f t="shared" si="17"/>
        <v>0.6</v>
      </c>
      <c r="AV16" s="16">
        <f t="shared" si="18"/>
        <v>0.62065368567454793</v>
      </c>
    </row>
    <row r="17" spans="1:48" ht="14.4" x14ac:dyDescent="0.55000000000000004">
      <c r="A17" s="9">
        <f t="shared" si="19"/>
        <v>46042</v>
      </c>
      <c r="B17" s="17">
        <f>INDEX('01_05_OMRI -2000'!$E$4:$E$393,MATCH($A17,'01_05_OMRI -2000'!$A$4:$A$393,0))</f>
        <v>62756</v>
      </c>
      <c r="C17" s="18"/>
      <c r="D17" s="1">
        <f t="shared" si="22"/>
        <v>62756</v>
      </c>
      <c r="E17" s="17">
        <f>INDEX('01_05_OMRI -2000'!$D$4:$D$393,MATCH($A17,'01_05_OMRI -2000'!$A$4:$A$393,0))</f>
        <v>2553</v>
      </c>
      <c r="F17" s="18"/>
      <c r="G17" s="1">
        <f t="shared" si="23"/>
        <v>2553</v>
      </c>
      <c r="H17" s="19">
        <f t="shared" si="5"/>
        <v>-6250</v>
      </c>
      <c r="I17" s="18"/>
      <c r="J17" s="1">
        <f t="shared" si="24"/>
        <v>-6250</v>
      </c>
      <c r="K17" s="20">
        <f>INDEX('01_05_OMRI -6250'!$B18:$B414,MATCH($A17,'01_05_OMRI -6250'!$A18:$A414,0))</f>
        <v>6400</v>
      </c>
      <c r="L17" s="18"/>
      <c r="M17" s="1">
        <f t="shared" si="25"/>
        <v>6400</v>
      </c>
      <c r="N17" s="21">
        <f>INDEX('01_05_OMRI -6250'!$C18:$C414,MATCH($A17,'01_05_OMRI -6250'!$A18:$A414,0))</f>
        <v>8800</v>
      </c>
      <c r="O17" s="18"/>
      <c r="P17" s="8">
        <f t="shared" si="26"/>
        <v>8800</v>
      </c>
      <c r="Q17" s="1">
        <v>-5000</v>
      </c>
      <c r="R17" s="18"/>
      <c r="S17" s="1">
        <f t="shared" si="20"/>
        <v>-5000</v>
      </c>
      <c r="T17" s="17">
        <f>INDEX('01_05_OMRI -5000'!$B11:$B407,MATCH($A17,'01_05_OMRI -5000'!$A11:$A407,0))</f>
        <v>5355</v>
      </c>
      <c r="U17" s="18"/>
      <c r="V17" s="1">
        <f t="shared" si="21"/>
        <v>5355</v>
      </c>
      <c r="W17" s="17">
        <f>INDEX('01_05_OMRI -5000'!$C11:$C407,MATCH($A17,'01_05_OMRI -5000'!$A11:$A407,0))</f>
        <v>6942</v>
      </c>
      <c r="X17" s="18"/>
      <c r="Y17" s="8">
        <f t="shared" si="27"/>
        <v>6942</v>
      </c>
      <c r="Z17" s="1">
        <v>-3500</v>
      </c>
      <c r="AA17" s="18"/>
      <c r="AB17" s="8">
        <f t="shared" si="28"/>
        <v>-3500</v>
      </c>
      <c r="AC17" s="22">
        <f>INDEX('01_05_OMRI -3500'!$B11:$B407,MATCH($A17,'01_05_OMRI -3500'!$A11:$A407,0))</f>
        <v>3570</v>
      </c>
      <c r="AD17" s="18"/>
      <c r="AE17" s="1">
        <f t="shared" si="29"/>
        <v>3570</v>
      </c>
      <c r="AF17" s="21">
        <f>INDEX('01_05_OMRI -3500'!$C11:$C407,MATCH($A17,'01_05_OMRI -3500'!$A11:$A407,0))</f>
        <v>5355</v>
      </c>
      <c r="AG17" s="18"/>
      <c r="AH17" s="8">
        <f t="shared" si="30"/>
        <v>5355</v>
      </c>
      <c r="AI17" s="12">
        <v>-2000</v>
      </c>
      <c r="AJ17" s="18"/>
      <c r="AK17" s="1">
        <f t="shared" si="31"/>
        <v>-2000</v>
      </c>
      <c r="AL17" s="22">
        <f>INDEX('01_05_OMRI -2000'!$B11:$B407,MATCH($A17,'01_05_OMRI -2000'!$A11:$A407,0))</f>
        <v>2182</v>
      </c>
      <c r="AM17" s="18"/>
      <c r="AN17" s="1">
        <f t="shared" si="32"/>
        <v>2182</v>
      </c>
      <c r="AO17" s="21">
        <f>INDEX('01_05_OMRI -2000'!$C11:$C407,MATCH($A17,'01_05_OMRI -2000'!$A11:$A407,0))</f>
        <v>3570</v>
      </c>
      <c r="AP17" s="18"/>
      <c r="AQ17" s="8">
        <f t="shared" si="33"/>
        <v>3570</v>
      </c>
      <c r="AS17" s="16">
        <f t="shared" si="1"/>
        <v>0.57894736842105265</v>
      </c>
      <c r="AT17" s="16">
        <f t="shared" si="2"/>
        <v>0.56452793364235176</v>
      </c>
      <c r="AU17" s="16">
        <f t="shared" si="17"/>
        <v>0.6</v>
      </c>
      <c r="AV17" s="16">
        <f t="shared" si="18"/>
        <v>0.62065368567454793</v>
      </c>
    </row>
    <row r="18" spans="1:48" ht="14.4" x14ac:dyDescent="0.55000000000000004">
      <c r="A18" s="9">
        <f t="shared" si="19"/>
        <v>46043</v>
      </c>
      <c r="B18" s="17">
        <f>INDEX('01_05_OMRI -2000'!$E$4:$E$393,MATCH($A18,'01_05_OMRI -2000'!$A$4:$A$393,0))</f>
        <v>62756</v>
      </c>
      <c r="C18" s="18"/>
      <c r="D18" s="1">
        <f t="shared" si="22"/>
        <v>62756</v>
      </c>
      <c r="E18" s="17">
        <f>INDEX('01_05_OMRI -2000'!$D$4:$D$393,MATCH($A18,'01_05_OMRI -2000'!$A$4:$A$393,0))</f>
        <v>2554</v>
      </c>
      <c r="F18" s="18"/>
      <c r="G18" s="1">
        <f t="shared" si="23"/>
        <v>2554</v>
      </c>
      <c r="H18" s="19">
        <f t="shared" si="5"/>
        <v>-6250</v>
      </c>
      <c r="I18" s="18"/>
      <c r="J18" s="1">
        <f t="shared" si="24"/>
        <v>-6250</v>
      </c>
      <c r="K18" s="20">
        <f>INDEX('01_05_OMRI -6250'!$B19:$B415,MATCH($A18,'01_05_OMRI -6250'!$A19:$A415,0))</f>
        <v>6400</v>
      </c>
      <c r="L18" s="18"/>
      <c r="M18" s="1">
        <f t="shared" si="25"/>
        <v>6400</v>
      </c>
      <c r="N18" s="21">
        <f>INDEX('01_05_OMRI -6250'!$C19:$C415,MATCH($A18,'01_05_OMRI -6250'!$A19:$A415,0))</f>
        <v>8800</v>
      </c>
      <c r="O18" s="18"/>
      <c r="P18" s="8">
        <f t="shared" si="26"/>
        <v>8800</v>
      </c>
      <c r="Q18" s="1">
        <v>-5000</v>
      </c>
      <c r="R18" s="18"/>
      <c r="S18" s="1">
        <f t="shared" si="20"/>
        <v>-5000</v>
      </c>
      <c r="T18" s="17">
        <f>INDEX('01_05_OMRI -5000'!$B12:$B408,MATCH($A18,'01_05_OMRI -5000'!$A12:$A408,0))</f>
        <v>5355</v>
      </c>
      <c r="U18" s="18"/>
      <c r="V18" s="1">
        <f t="shared" si="21"/>
        <v>5355</v>
      </c>
      <c r="W18" s="17">
        <f>INDEX('01_05_OMRI -5000'!$C12:$C408,MATCH($A18,'01_05_OMRI -5000'!$A12:$A408,0))</f>
        <v>6942</v>
      </c>
      <c r="X18" s="18"/>
      <c r="Y18" s="8">
        <f t="shared" si="27"/>
        <v>6942</v>
      </c>
      <c r="Z18" s="1">
        <v>-3500</v>
      </c>
      <c r="AA18" s="18"/>
      <c r="AB18" s="8">
        <f t="shared" si="28"/>
        <v>-3500</v>
      </c>
      <c r="AC18" s="22">
        <f>INDEX('01_05_OMRI -3500'!$B12:$B408,MATCH($A18,'01_05_OMRI -3500'!$A12:$A408,0))</f>
        <v>3570</v>
      </c>
      <c r="AD18" s="18"/>
      <c r="AE18" s="1">
        <f t="shared" si="29"/>
        <v>3570</v>
      </c>
      <c r="AF18" s="21">
        <f>INDEX('01_05_OMRI -3500'!$C12:$C408,MATCH($A18,'01_05_OMRI -3500'!$A12:$A408,0))</f>
        <v>5355</v>
      </c>
      <c r="AG18" s="18"/>
      <c r="AH18" s="8">
        <f t="shared" si="30"/>
        <v>5355</v>
      </c>
      <c r="AI18" s="12">
        <v>-2000</v>
      </c>
      <c r="AJ18" s="18"/>
      <c r="AK18" s="1">
        <f t="shared" si="31"/>
        <v>-2000</v>
      </c>
      <c r="AL18" s="22">
        <f>INDEX('01_05_OMRI -2000'!$B12:$B408,MATCH($A18,'01_05_OMRI -2000'!$A12:$A408,0))</f>
        <v>2182</v>
      </c>
      <c r="AM18" s="18"/>
      <c r="AN18" s="1">
        <f t="shared" si="32"/>
        <v>2182</v>
      </c>
      <c r="AO18" s="21">
        <f>INDEX('01_05_OMRI -2000'!$C12:$C408,MATCH($A18,'01_05_OMRI -2000'!$A12:$A408,0))</f>
        <v>3570</v>
      </c>
      <c r="AP18" s="18"/>
      <c r="AQ18" s="8">
        <f t="shared" si="33"/>
        <v>3570</v>
      </c>
      <c r="AS18" s="16">
        <f t="shared" si="1"/>
        <v>0.57894736842105265</v>
      </c>
      <c r="AT18" s="16">
        <f t="shared" si="2"/>
        <v>0.56452793364235176</v>
      </c>
      <c r="AU18" s="16">
        <f t="shared" si="17"/>
        <v>0.6</v>
      </c>
      <c r="AV18" s="16">
        <f t="shared" si="18"/>
        <v>0.62065368567454793</v>
      </c>
    </row>
    <row r="19" spans="1:48" ht="14.4" x14ac:dyDescent="0.55000000000000004">
      <c r="A19" s="9">
        <f t="shared" si="19"/>
        <v>46044</v>
      </c>
      <c r="B19" s="17">
        <f>INDEX('01_05_OMRI -2000'!$E$4:$E$393,MATCH($A19,'01_05_OMRI -2000'!$A$4:$A$393,0))</f>
        <v>62756</v>
      </c>
      <c r="C19" s="18"/>
      <c r="D19" s="1">
        <f t="shared" si="22"/>
        <v>62756</v>
      </c>
      <c r="E19" s="17">
        <f>INDEX('01_05_OMRI -2000'!$D$4:$D$393,MATCH($A19,'01_05_OMRI -2000'!$A$4:$A$393,0))</f>
        <v>2554</v>
      </c>
      <c r="F19" s="18"/>
      <c r="G19" s="1">
        <f t="shared" si="23"/>
        <v>2554</v>
      </c>
      <c r="H19" s="19">
        <f t="shared" si="5"/>
        <v>-6250</v>
      </c>
      <c r="I19" s="18"/>
      <c r="J19" s="1">
        <f t="shared" si="24"/>
        <v>-6250</v>
      </c>
      <c r="K19" s="20">
        <f>INDEX('01_05_OMRI -6250'!$B20:$B416,MATCH($A19,'01_05_OMRI -6250'!$A20:$A416,0))</f>
        <v>6400</v>
      </c>
      <c r="L19" s="18"/>
      <c r="M19" s="1">
        <f t="shared" si="25"/>
        <v>6400</v>
      </c>
      <c r="N19" s="21">
        <f>INDEX('01_05_OMRI -6250'!$C20:$C416,MATCH($A19,'01_05_OMRI -6250'!$A20:$A416,0))</f>
        <v>8800</v>
      </c>
      <c r="O19" s="18"/>
      <c r="P19" s="8">
        <f t="shared" si="26"/>
        <v>8800</v>
      </c>
      <c r="Q19" s="1">
        <v>-5000</v>
      </c>
      <c r="R19" s="18"/>
      <c r="S19" s="1">
        <f t="shared" si="20"/>
        <v>-5000</v>
      </c>
      <c r="T19" s="17">
        <f>INDEX('01_05_OMRI -5000'!$B13:$B409,MATCH($A19,'01_05_OMRI -5000'!$A13:$A409,0))</f>
        <v>5355</v>
      </c>
      <c r="U19" s="18"/>
      <c r="V19" s="1">
        <f t="shared" si="21"/>
        <v>5355</v>
      </c>
      <c r="W19" s="17">
        <f>INDEX('01_05_OMRI -5000'!$C13:$C409,MATCH($A19,'01_05_OMRI -5000'!$A13:$A409,0))</f>
        <v>6942</v>
      </c>
      <c r="X19" s="18"/>
      <c r="Y19" s="8">
        <f t="shared" si="27"/>
        <v>6942</v>
      </c>
      <c r="Z19" s="1">
        <v>-3500</v>
      </c>
      <c r="AA19" s="18"/>
      <c r="AB19" s="8">
        <f t="shared" si="28"/>
        <v>-3500</v>
      </c>
      <c r="AC19" s="22">
        <f>INDEX('01_05_OMRI -3500'!$B13:$B409,MATCH($A19,'01_05_OMRI -3500'!$A13:$A409,0))</f>
        <v>3570</v>
      </c>
      <c r="AD19" s="18"/>
      <c r="AE19" s="1">
        <f t="shared" si="29"/>
        <v>3570</v>
      </c>
      <c r="AF19" s="21">
        <f>INDEX('01_05_OMRI -3500'!$C13:$C409,MATCH($A19,'01_05_OMRI -3500'!$A13:$A409,0))</f>
        <v>5355</v>
      </c>
      <c r="AG19" s="18"/>
      <c r="AH19" s="8">
        <f t="shared" si="30"/>
        <v>5355</v>
      </c>
      <c r="AI19" s="12">
        <v>-2000</v>
      </c>
      <c r="AJ19" s="18"/>
      <c r="AK19" s="1">
        <f t="shared" si="31"/>
        <v>-2000</v>
      </c>
      <c r="AL19" s="22">
        <f>INDEX('01_05_OMRI -2000'!$B13:$B409,MATCH($A19,'01_05_OMRI -2000'!$A13:$A409,0))</f>
        <v>2182</v>
      </c>
      <c r="AM19" s="18"/>
      <c r="AN19" s="1">
        <f t="shared" si="32"/>
        <v>2182</v>
      </c>
      <c r="AO19" s="21">
        <f>INDEX('01_05_OMRI -2000'!$C13:$C409,MATCH($A19,'01_05_OMRI -2000'!$A13:$A409,0))</f>
        <v>3570</v>
      </c>
      <c r="AP19" s="18"/>
      <c r="AQ19" s="8">
        <f t="shared" si="33"/>
        <v>3570</v>
      </c>
      <c r="AS19" s="16">
        <f t="shared" si="1"/>
        <v>0.57894736842105265</v>
      </c>
      <c r="AT19" s="16">
        <f t="shared" si="2"/>
        <v>0.56452793364235176</v>
      </c>
      <c r="AU19" s="16">
        <f t="shared" si="17"/>
        <v>0.6</v>
      </c>
      <c r="AV19" s="16">
        <f t="shared" si="18"/>
        <v>0.62065368567454793</v>
      </c>
    </row>
    <row r="20" spans="1:48" ht="14.4" x14ac:dyDescent="0.55000000000000004">
      <c r="A20" s="9">
        <f t="shared" si="19"/>
        <v>46045</v>
      </c>
      <c r="B20" s="17">
        <f>INDEX('01_05_OMRI -2000'!$E$4:$E$393,MATCH($A20,'01_05_OMRI -2000'!$A$4:$A$393,0))</f>
        <v>62756</v>
      </c>
      <c r="C20" s="18"/>
      <c r="D20" s="1">
        <f t="shared" si="22"/>
        <v>62756</v>
      </c>
      <c r="E20" s="17">
        <f>INDEX('01_05_OMRI -2000'!$D$4:$D$393,MATCH($A20,'01_05_OMRI -2000'!$A$4:$A$393,0))</f>
        <v>2555</v>
      </c>
      <c r="F20" s="18"/>
      <c r="G20" s="1">
        <f t="shared" si="23"/>
        <v>2555</v>
      </c>
      <c r="H20" s="19">
        <f t="shared" si="5"/>
        <v>-6250</v>
      </c>
      <c r="I20" s="18"/>
      <c r="J20" s="1">
        <f t="shared" si="24"/>
        <v>-6250</v>
      </c>
      <c r="K20" s="20">
        <f>INDEX('01_05_OMRI -6250'!$B21:$B417,MATCH($A20,'01_05_OMRI -6250'!$A21:$A417,0))</f>
        <v>6400</v>
      </c>
      <c r="L20" s="18"/>
      <c r="M20" s="1">
        <f t="shared" si="25"/>
        <v>6400</v>
      </c>
      <c r="N20" s="21">
        <f>INDEX('01_05_OMRI -6250'!$C21:$C417,MATCH($A20,'01_05_OMRI -6250'!$A21:$A417,0))</f>
        <v>8800</v>
      </c>
      <c r="O20" s="18"/>
      <c r="P20" s="8">
        <f t="shared" si="26"/>
        <v>8800</v>
      </c>
      <c r="Q20" s="1">
        <v>-5000</v>
      </c>
      <c r="R20" s="18"/>
      <c r="S20" s="1">
        <f t="shared" si="20"/>
        <v>-5000</v>
      </c>
      <c r="T20" s="17">
        <f>INDEX('01_05_OMRI -5000'!$B14:$B410,MATCH($A20,'01_05_OMRI -5000'!$A14:$A410,0))</f>
        <v>5355</v>
      </c>
      <c r="U20" s="18"/>
      <c r="V20" s="1">
        <f t="shared" si="21"/>
        <v>5355</v>
      </c>
      <c r="W20" s="17">
        <f>INDEX('01_05_OMRI -5000'!$C14:$C410,MATCH($A20,'01_05_OMRI -5000'!$A14:$A410,0))</f>
        <v>6942</v>
      </c>
      <c r="X20" s="18"/>
      <c r="Y20" s="8">
        <f t="shared" si="27"/>
        <v>6942</v>
      </c>
      <c r="Z20" s="1">
        <v>-3500</v>
      </c>
      <c r="AA20" s="18"/>
      <c r="AB20" s="8">
        <f t="shared" si="28"/>
        <v>-3500</v>
      </c>
      <c r="AC20" s="22">
        <f>INDEX('01_05_OMRI -3500'!$B14:$B410,MATCH($A20,'01_05_OMRI -3500'!$A14:$A410,0))</f>
        <v>3570</v>
      </c>
      <c r="AD20" s="18"/>
      <c r="AE20" s="1">
        <f t="shared" si="29"/>
        <v>3570</v>
      </c>
      <c r="AF20" s="21">
        <f>INDEX('01_05_OMRI -3500'!$C14:$C410,MATCH($A20,'01_05_OMRI -3500'!$A14:$A410,0))</f>
        <v>5355</v>
      </c>
      <c r="AG20" s="18"/>
      <c r="AH20" s="8">
        <f t="shared" si="30"/>
        <v>5355</v>
      </c>
      <c r="AI20" s="12">
        <v>-2000</v>
      </c>
      <c r="AJ20" s="18"/>
      <c r="AK20" s="1">
        <f t="shared" si="31"/>
        <v>-2000</v>
      </c>
      <c r="AL20" s="22">
        <f>INDEX('01_05_OMRI -2000'!$B14:$B410,MATCH($A20,'01_05_OMRI -2000'!$A14:$A410,0))</f>
        <v>2182</v>
      </c>
      <c r="AM20" s="18"/>
      <c r="AN20" s="1">
        <f t="shared" si="32"/>
        <v>2182</v>
      </c>
      <c r="AO20" s="21">
        <f>INDEX('01_05_OMRI -2000'!$C14:$C410,MATCH($A20,'01_05_OMRI -2000'!$A14:$A410,0))</f>
        <v>3570</v>
      </c>
      <c r="AP20" s="18"/>
      <c r="AQ20" s="8">
        <f t="shared" si="33"/>
        <v>3570</v>
      </c>
      <c r="AS20" s="16">
        <f t="shared" si="1"/>
        <v>0.57894736842105265</v>
      </c>
      <c r="AT20" s="16">
        <f t="shared" si="2"/>
        <v>0.56452793364235176</v>
      </c>
      <c r="AU20" s="16">
        <f t="shared" si="17"/>
        <v>0.6</v>
      </c>
      <c r="AV20" s="16">
        <f t="shared" si="18"/>
        <v>0.62065368567454793</v>
      </c>
    </row>
    <row r="21" spans="1:48" ht="14.4" x14ac:dyDescent="0.55000000000000004">
      <c r="A21" s="9">
        <f t="shared" si="19"/>
        <v>46046</v>
      </c>
      <c r="B21" s="17">
        <f>INDEX('01_05_OMRI -2000'!$E$4:$E$393,MATCH($A21,'01_05_OMRI -2000'!$A$4:$A$393,0))</f>
        <v>62756</v>
      </c>
      <c r="C21" s="18"/>
      <c r="D21" s="1">
        <f t="shared" si="22"/>
        <v>62756</v>
      </c>
      <c r="E21" s="17">
        <f>INDEX('01_05_OMRI -2000'!$D$4:$D$393,MATCH($A21,'01_05_OMRI -2000'!$A$4:$A$393,0))</f>
        <v>2555</v>
      </c>
      <c r="F21" s="18"/>
      <c r="G21" s="1">
        <f t="shared" si="23"/>
        <v>2555</v>
      </c>
      <c r="H21" s="19">
        <f t="shared" si="5"/>
        <v>-6250</v>
      </c>
      <c r="I21" s="18"/>
      <c r="J21" s="1">
        <f t="shared" si="24"/>
        <v>-6250</v>
      </c>
      <c r="K21" s="20">
        <f>INDEX('01_05_OMRI -6250'!$B22:$B418,MATCH($A21,'01_05_OMRI -6250'!$A22:$A418,0))</f>
        <v>6400</v>
      </c>
      <c r="L21" s="18"/>
      <c r="M21" s="1">
        <f t="shared" si="25"/>
        <v>6400</v>
      </c>
      <c r="N21" s="21">
        <f>INDEX('01_05_OMRI -6250'!$C22:$C418,MATCH($A21,'01_05_OMRI -6250'!$A22:$A418,0))</f>
        <v>8800</v>
      </c>
      <c r="O21" s="18"/>
      <c r="P21" s="8">
        <f t="shared" si="26"/>
        <v>8800</v>
      </c>
      <c r="Q21" s="1">
        <v>-5000</v>
      </c>
      <c r="R21" s="18"/>
      <c r="S21" s="1">
        <f t="shared" si="20"/>
        <v>-5000</v>
      </c>
      <c r="T21" s="17">
        <f>INDEX('01_05_OMRI -5000'!$B15:$B411,MATCH($A21,'01_05_OMRI -5000'!$A15:$A411,0))</f>
        <v>5355</v>
      </c>
      <c r="U21" s="18"/>
      <c r="V21" s="1">
        <f t="shared" si="21"/>
        <v>5355</v>
      </c>
      <c r="W21" s="17">
        <f>INDEX('01_05_OMRI -5000'!$C15:$C411,MATCH($A21,'01_05_OMRI -5000'!$A15:$A411,0))</f>
        <v>6942</v>
      </c>
      <c r="X21" s="18"/>
      <c r="Y21" s="8">
        <f t="shared" si="27"/>
        <v>6942</v>
      </c>
      <c r="Z21" s="1">
        <v>-3500</v>
      </c>
      <c r="AA21" s="18"/>
      <c r="AB21" s="8">
        <f t="shared" si="28"/>
        <v>-3500</v>
      </c>
      <c r="AC21" s="22">
        <f>INDEX('01_05_OMRI -3500'!$B15:$B411,MATCH($A21,'01_05_OMRI -3500'!$A15:$A411,0))</f>
        <v>3570</v>
      </c>
      <c r="AD21" s="18"/>
      <c r="AE21" s="1">
        <f t="shared" si="29"/>
        <v>3570</v>
      </c>
      <c r="AF21" s="21">
        <f>INDEX('01_05_OMRI -3500'!$C15:$C411,MATCH($A21,'01_05_OMRI -3500'!$A15:$A411,0))</f>
        <v>5355</v>
      </c>
      <c r="AG21" s="18"/>
      <c r="AH21" s="8">
        <f t="shared" si="30"/>
        <v>5355</v>
      </c>
      <c r="AI21" s="12">
        <v>-2000</v>
      </c>
      <c r="AJ21" s="18"/>
      <c r="AK21" s="1">
        <f t="shared" si="31"/>
        <v>-2000</v>
      </c>
      <c r="AL21" s="22">
        <f>INDEX('01_05_OMRI -2000'!$B15:$B411,MATCH($A21,'01_05_OMRI -2000'!$A15:$A411,0))</f>
        <v>2182</v>
      </c>
      <c r="AM21" s="18"/>
      <c r="AN21" s="1">
        <f t="shared" si="32"/>
        <v>2182</v>
      </c>
      <c r="AO21" s="21">
        <f>INDEX('01_05_OMRI -2000'!$C15:$C411,MATCH($A21,'01_05_OMRI -2000'!$A15:$A411,0))</f>
        <v>3570</v>
      </c>
      <c r="AP21" s="18"/>
      <c r="AQ21" s="8">
        <f t="shared" si="33"/>
        <v>3570</v>
      </c>
      <c r="AS21" s="16">
        <f t="shared" si="1"/>
        <v>0.57894736842105265</v>
      </c>
      <c r="AT21" s="16">
        <f t="shared" si="2"/>
        <v>0.56452793364235176</v>
      </c>
      <c r="AU21" s="16">
        <f t="shared" si="17"/>
        <v>0.6</v>
      </c>
      <c r="AV21" s="16">
        <f t="shared" si="18"/>
        <v>0.62065368567454793</v>
      </c>
    </row>
    <row r="22" spans="1:48" ht="14.4" x14ac:dyDescent="0.55000000000000004">
      <c r="A22" s="9">
        <f t="shared" si="19"/>
        <v>46047</v>
      </c>
      <c r="B22" s="17">
        <f>INDEX('01_05_OMRI -2000'!$E$4:$E$393,MATCH($A22,'01_05_OMRI -2000'!$A$4:$A$393,0))</f>
        <v>62756</v>
      </c>
      <c r="C22" s="18"/>
      <c r="D22" s="1">
        <f t="shared" si="22"/>
        <v>62756</v>
      </c>
      <c r="E22" s="17">
        <f>INDEX('01_05_OMRI -2000'!$D$4:$D$393,MATCH($A22,'01_05_OMRI -2000'!$A$4:$A$393,0))</f>
        <v>2555</v>
      </c>
      <c r="F22" s="18"/>
      <c r="G22" s="1">
        <f t="shared" si="23"/>
        <v>2555</v>
      </c>
      <c r="H22" s="19">
        <f t="shared" si="5"/>
        <v>-6250</v>
      </c>
      <c r="I22" s="18"/>
      <c r="J22" s="1">
        <f t="shared" si="24"/>
        <v>-6250</v>
      </c>
      <c r="K22" s="20">
        <f>INDEX('01_05_OMRI -6250'!$B23:$B419,MATCH($A22,'01_05_OMRI -6250'!$A23:$A419,0))</f>
        <v>6400</v>
      </c>
      <c r="L22" s="18"/>
      <c r="M22" s="1">
        <f t="shared" si="25"/>
        <v>6400</v>
      </c>
      <c r="N22" s="21">
        <f>INDEX('01_05_OMRI -6250'!$C23:$C419,MATCH($A22,'01_05_OMRI -6250'!$A23:$A419,0))</f>
        <v>8800</v>
      </c>
      <c r="O22" s="18"/>
      <c r="P22" s="8">
        <f t="shared" si="26"/>
        <v>8800</v>
      </c>
      <c r="Q22" s="1">
        <v>-5000</v>
      </c>
      <c r="R22" s="18"/>
      <c r="S22" s="1">
        <f t="shared" si="20"/>
        <v>-5000</v>
      </c>
      <c r="T22" s="17">
        <f>INDEX('01_05_OMRI -5000'!$B16:$B412,MATCH($A22,'01_05_OMRI -5000'!$A16:$A412,0))</f>
        <v>5355</v>
      </c>
      <c r="U22" s="18"/>
      <c r="V22" s="1">
        <f t="shared" si="21"/>
        <v>5355</v>
      </c>
      <c r="W22" s="17">
        <f>INDEX('01_05_OMRI -5000'!$C16:$C412,MATCH($A22,'01_05_OMRI -5000'!$A16:$A412,0))</f>
        <v>6942</v>
      </c>
      <c r="X22" s="18"/>
      <c r="Y22" s="8">
        <f t="shared" si="27"/>
        <v>6942</v>
      </c>
      <c r="Z22" s="1">
        <v>-3500</v>
      </c>
      <c r="AA22" s="18"/>
      <c r="AB22" s="8">
        <f t="shared" si="28"/>
        <v>-3500</v>
      </c>
      <c r="AC22" s="22">
        <f>INDEX('01_05_OMRI -3500'!$B16:$B412,MATCH($A22,'01_05_OMRI -3500'!$A16:$A412,0))</f>
        <v>3570</v>
      </c>
      <c r="AD22" s="18"/>
      <c r="AE22" s="1">
        <f t="shared" si="29"/>
        <v>3570</v>
      </c>
      <c r="AF22" s="21">
        <f>INDEX('01_05_OMRI -3500'!$C16:$C412,MATCH($A22,'01_05_OMRI -3500'!$A16:$A412,0))</f>
        <v>5355</v>
      </c>
      <c r="AG22" s="18"/>
      <c r="AH22" s="8">
        <f t="shared" si="30"/>
        <v>5355</v>
      </c>
      <c r="AI22" s="12">
        <v>-2000</v>
      </c>
      <c r="AJ22" s="18"/>
      <c r="AK22" s="1">
        <f t="shared" si="31"/>
        <v>-2000</v>
      </c>
      <c r="AL22" s="22">
        <f>INDEX('01_05_OMRI -2000'!$B16:$B412,MATCH($A22,'01_05_OMRI -2000'!$A16:$A412,0))</f>
        <v>2182</v>
      </c>
      <c r="AM22" s="18"/>
      <c r="AN22" s="1">
        <f t="shared" si="32"/>
        <v>2182</v>
      </c>
      <c r="AO22" s="21">
        <f>INDEX('01_05_OMRI -2000'!$C16:$C412,MATCH($A22,'01_05_OMRI -2000'!$A16:$A412,0))</f>
        <v>3570</v>
      </c>
      <c r="AP22" s="18"/>
      <c r="AQ22" s="8">
        <f t="shared" si="33"/>
        <v>3570</v>
      </c>
      <c r="AS22" s="16">
        <f t="shared" si="1"/>
        <v>0.57894736842105265</v>
      </c>
      <c r="AT22" s="16">
        <f t="shared" si="2"/>
        <v>0.56452793364235176</v>
      </c>
      <c r="AU22" s="16">
        <f t="shared" si="17"/>
        <v>0.6</v>
      </c>
      <c r="AV22" s="16">
        <f t="shared" si="18"/>
        <v>0.62065368567454793</v>
      </c>
    </row>
    <row r="23" spans="1:48" ht="14.4" x14ac:dyDescent="0.55000000000000004">
      <c r="A23" s="9">
        <f t="shared" si="19"/>
        <v>46048</v>
      </c>
      <c r="B23" s="17">
        <f>INDEX('01_05_OMRI -2000'!$E$4:$E$393,MATCH($A23,'01_05_OMRI -2000'!$A$4:$A$393,0))</f>
        <v>62756</v>
      </c>
      <c r="C23" s="18"/>
      <c r="D23" s="1">
        <f t="shared" si="22"/>
        <v>62756</v>
      </c>
      <c r="E23" s="17">
        <f>INDEX('01_05_OMRI -2000'!$D$4:$D$393,MATCH($A23,'01_05_OMRI -2000'!$A$4:$A$393,0))</f>
        <v>2556</v>
      </c>
      <c r="F23" s="18"/>
      <c r="G23" s="1">
        <f t="shared" si="23"/>
        <v>2556</v>
      </c>
      <c r="H23" s="19">
        <f t="shared" si="5"/>
        <v>-6250</v>
      </c>
      <c r="I23" s="18"/>
      <c r="J23" s="1">
        <f t="shared" si="24"/>
        <v>-6250</v>
      </c>
      <c r="K23" s="20">
        <f>INDEX('01_05_OMRI -6250'!$B24:$B420,MATCH($A23,'01_05_OMRI -6250'!$A24:$A420,0))</f>
        <v>6400</v>
      </c>
      <c r="L23" s="18"/>
      <c r="M23" s="1">
        <f t="shared" si="25"/>
        <v>6400</v>
      </c>
      <c r="N23" s="21">
        <f>INDEX('01_05_OMRI -6250'!$C24:$C420,MATCH($A23,'01_05_OMRI -6250'!$A24:$A420,0))</f>
        <v>8800</v>
      </c>
      <c r="O23" s="18"/>
      <c r="P23" s="8">
        <f t="shared" si="26"/>
        <v>8800</v>
      </c>
      <c r="Q23" s="1">
        <v>-5000</v>
      </c>
      <c r="R23" s="18"/>
      <c r="S23" s="1">
        <f t="shared" si="20"/>
        <v>-5000</v>
      </c>
      <c r="T23" s="17">
        <f>INDEX('01_05_OMRI -5000'!$B17:$B413,MATCH($A23,'01_05_OMRI -5000'!$A17:$A413,0))</f>
        <v>5355</v>
      </c>
      <c r="U23" s="18"/>
      <c r="V23" s="1">
        <f t="shared" si="21"/>
        <v>5355</v>
      </c>
      <c r="W23" s="17">
        <f>INDEX('01_05_OMRI -5000'!$C17:$C413,MATCH($A23,'01_05_OMRI -5000'!$A17:$A413,0))</f>
        <v>6942</v>
      </c>
      <c r="X23" s="18"/>
      <c r="Y23" s="8">
        <f t="shared" si="27"/>
        <v>6942</v>
      </c>
      <c r="Z23" s="1">
        <v>-3500</v>
      </c>
      <c r="AA23" s="18"/>
      <c r="AB23" s="8">
        <f t="shared" si="28"/>
        <v>-3500</v>
      </c>
      <c r="AC23" s="22">
        <f>INDEX('01_05_OMRI -3500'!$B17:$B413,MATCH($A23,'01_05_OMRI -3500'!$A17:$A413,0))</f>
        <v>3570</v>
      </c>
      <c r="AD23" s="18"/>
      <c r="AE23" s="1">
        <f t="shared" si="29"/>
        <v>3570</v>
      </c>
      <c r="AF23" s="21">
        <f>INDEX('01_05_OMRI -3500'!$C17:$C413,MATCH($A23,'01_05_OMRI -3500'!$A17:$A413,0))</f>
        <v>5355</v>
      </c>
      <c r="AG23" s="18"/>
      <c r="AH23" s="8">
        <f t="shared" si="30"/>
        <v>5355</v>
      </c>
      <c r="AI23" s="12">
        <v>-2000</v>
      </c>
      <c r="AJ23" s="18"/>
      <c r="AK23" s="1">
        <f t="shared" si="31"/>
        <v>-2000</v>
      </c>
      <c r="AL23" s="22">
        <f>INDEX('01_05_OMRI -2000'!$B17:$B413,MATCH($A23,'01_05_OMRI -2000'!$A17:$A413,0))</f>
        <v>2182</v>
      </c>
      <c r="AM23" s="18"/>
      <c r="AN23" s="1">
        <f t="shared" si="32"/>
        <v>2182</v>
      </c>
      <c r="AO23" s="21">
        <f>INDEX('01_05_OMRI -2000'!$C17:$C413,MATCH($A23,'01_05_OMRI -2000'!$A17:$A413,0))</f>
        <v>3570</v>
      </c>
      <c r="AP23" s="18"/>
      <c r="AQ23" s="8">
        <f t="shared" si="33"/>
        <v>3570</v>
      </c>
      <c r="AS23" s="16">
        <f t="shared" si="1"/>
        <v>0.57894736842105265</v>
      </c>
      <c r="AT23" s="16">
        <f t="shared" si="2"/>
        <v>0.56452793364235176</v>
      </c>
      <c r="AU23" s="16">
        <f t="shared" si="17"/>
        <v>0.6</v>
      </c>
      <c r="AV23" s="16">
        <f t="shared" si="18"/>
        <v>0.62065368567454793</v>
      </c>
    </row>
    <row r="24" spans="1:48" ht="14.7" thickBot="1" x14ac:dyDescent="0.6">
      <c r="A24" s="9">
        <f t="shared" si="19"/>
        <v>46049</v>
      </c>
      <c r="B24" s="17">
        <f>INDEX('01_05_OMRI -2000'!$E$4:$E$393,MATCH($A24,'01_05_OMRI -2000'!$A$4:$A$393,0))</f>
        <v>62756</v>
      </c>
      <c r="C24" s="18"/>
      <c r="D24" s="1">
        <f t="shared" si="22"/>
        <v>62756</v>
      </c>
      <c r="E24" s="17">
        <f>INDEX('01_05_OMRI -2000'!$D$4:$D$393,MATCH($A24,'01_05_OMRI -2000'!$A$4:$A$393,0))</f>
        <v>2556</v>
      </c>
      <c r="F24" s="18"/>
      <c r="G24" s="1">
        <f t="shared" si="23"/>
        <v>2556</v>
      </c>
      <c r="H24" s="19">
        <f t="shared" si="5"/>
        <v>-6250</v>
      </c>
      <c r="I24" s="23"/>
      <c r="J24" s="24">
        <f t="shared" si="24"/>
        <v>-6250</v>
      </c>
      <c r="K24" s="20">
        <f>INDEX('01_05_OMRI -6250'!$B25:$B421,MATCH($A24,'01_05_OMRI -6250'!$A25:$A421,0))</f>
        <v>6400</v>
      </c>
      <c r="L24" s="23"/>
      <c r="M24" s="24">
        <f t="shared" si="25"/>
        <v>6400</v>
      </c>
      <c r="N24" s="21">
        <f>INDEX('01_05_OMRI -6250'!$C25:$C421,MATCH($A24,'01_05_OMRI -6250'!$A25:$A421,0))</f>
        <v>8800</v>
      </c>
      <c r="O24" s="23"/>
      <c r="P24" s="25">
        <f t="shared" si="26"/>
        <v>8800</v>
      </c>
      <c r="Q24" s="1">
        <v>-5000</v>
      </c>
      <c r="R24" s="23"/>
      <c r="S24" s="24">
        <f t="shared" si="20"/>
        <v>-5000</v>
      </c>
      <c r="T24" s="26">
        <f>INDEX('01_05_OMRI -5000'!$B18:$B414,MATCH($A24,'01_05_OMRI -5000'!$A18:$A414,0))</f>
        <v>5355</v>
      </c>
      <c r="U24" s="23"/>
      <c r="V24" s="24">
        <f t="shared" si="21"/>
        <v>5355</v>
      </c>
      <c r="W24" s="26">
        <f>INDEX('01_05_OMRI -5000'!$C18:$C414,MATCH($A24,'01_05_OMRI -5000'!$A18:$A414,0))</f>
        <v>6942</v>
      </c>
      <c r="X24" s="23"/>
      <c r="Y24" s="25">
        <f t="shared" si="27"/>
        <v>6942</v>
      </c>
      <c r="Z24" s="1">
        <v>-3500</v>
      </c>
      <c r="AA24" s="23"/>
      <c r="AB24" s="25">
        <f t="shared" si="28"/>
        <v>-3500</v>
      </c>
      <c r="AC24" s="27">
        <f>INDEX('01_05_OMRI -3500'!$B18:$B414,MATCH($A24,'01_05_OMRI -3500'!$A18:$A414,0))</f>
        <v>3570</v>
      </c>
      <c r="AD24" s="23"/>
      <c r="AE24" s="24">
        <f t="shared" si="29"/>
        <v>3570</v>
      </c>
      <c r="AF24" s="21">
        <f>INDEX('01_05_OMRI -3500'!$C18:$C414,MATCH($A24,'01_05_OMRI -3500'!$A18:$A414,0))</f>
        <v>5355</v>
      </c>
      <c r="AG24" s="23"/>
      <c r="AH24" s="25">
        <f t="shared" si="30"/>
        <v>5355</v>
      </c>
      <c r="AI24" s="12">
        <v>-2000</v>
      </c>
      <c r="AJ24" s="23"/>
      <c r="AK24" s="24">
        <f t="shared" si="31"/>
        <v>-2000</v>
      </c>
      <c r="AL24" s="27">
        <f>INDEX('01_05_OMRI -2000'!$B18:$B414,MATCH($A24,'01_05_OMRI -2000'!$A18:$A414,0))</f>
        <v>2182</v>
      </c>
      <c r="AM24" s="23"/>
      <c r="AN24" s="24">
        <f t="shared" si="32"/>
        <v>2182</v>
      </c>
      <c r="AO24" s="28">
        <f>INDEX('01_05_OMRI -2000'!$C18:$C414,MATCH($A24,'01_05_OMRI -2000'!$A18:$A414,0))</f>
        <v>3570</v>
      </c>
      <c r="AP24" s="23"/>
      <c r="AQ24" s="25">
        <f t="shared" si="33"/>
        <v>3570</v>
      </c>
      <c r="AS24" s="16">
        <f t="shared" si="1"/>
        <v>0.57894736842105265</v>
      </c>
      <c r="AT24" s="16">
        <f t="shared" si="2"/>
        <v>0.56452793364235176</v>
      </c>
      <c r="AU24" s="16">
        <f t="shared" si="17"/>
        <v>0.6</v>
      </c>
      <c r="AV24" s="16">
        <f t="shared" si="18"/>
        <v>0.62065368567454793</v>
      </c>
    </row>
    <row r="25" spans="1:48" ht="14.4" x14ac:dyDescent="0.55000000000000004">
      <c r="K25" s="1">
        <f>AVERAGE(K3:K24)</f>
        <v>6777.272727272727</v>
      </c>
      <c r="N25" s="1">
        <f>AVERAGE(N3:N24)</f>
        <v>8873.636363636364</v>
      </c>
      <c r="T25" s="1">
        <f>AVERAGE(T3:T24)</f>
        <v>5598.5</v>
      </c>
      <c r="W25" s="1">
        <f>AVERAGE(W3:W24)</f>
        <v>7131.409090909091</v>
      </c>
      <c r="AC25" s="1">
        <f>AVERAGE(AC3:AC24)</f>
        <v>3894.6363636363635</v>
      </c>
      <c r="AF25" s="1">
        <f>AVERAGE(AF3:AF24)</f>
        <v>5571.409090909091</v>
      </c>
      <c r="AL25" s="1">
        <f>AVERAGE(AL3:AL24)</f>
        <v>2551.6363636363635</v>
      </c>
      <c r="AO25" s="1">
        <f>AVERAGE(AO3:AO24)</f>
        <v>3804.409090909091</v>
      </c>
      <c r="AS25" s="16"/>
    </row>
    <row r="27" spans="1:48" x14ac:dyDescent="0.4">
      <c r="E27" s="2" t="s">
        <v>14</v>
      </c>
    </row>
    <row r="28" spans="1:48" ht="12.6" customHeight="1" x14ac:dyDescent="0.4">
      <c r="S28" s="57"/>
      <c r="T28" s="57"/>
      <c r="U28" s="57"/>
      <c r="V28" s="57"/>
      <c r="W28" s="57"/>
      <c r="X28" s="57"/>
      <c r="Y28" s="57"/>
      <c r="Z28" s="57"/>
    </row>
    <row r="29" spans="1:48" x14ac:dyDescent="0.4">
      <c r="S29" s="42"/>
      <c r="T29" s="42"/>
      <c r="U29" s="42"/>
      <c r="V29" s="42"/>
      <c r="W29" s="42"/>
      <c r="X29" s="42"/>
    </row>
    <row r="30" spans="1:48" x14ac:dyDescent="0.4">
      <c r="S30" s="43"/>
      <c r="T30" s="44"/>
      <c r="U30" s="43"/>
      <c r="V30" s="44"/>
      <c r="W30" s="44"/>
      <c r="X30" s="44"/>
    </row>
    <row r="31" spans="1:48" ht="14.4" x14ac:dyDescent="0.55000000000000004">
      <c r="S31" s="45"/>
      <c r="T31" s="45"/>
      <c r="U31" s="45"/>
      <c r="V31" s="45"/>
      <c r="W31" s="45"/>
      <c r="X31" s="45"/>
    </row>
    <row r="33" spans="18:30" ht="12.6" thickBot="1" x14ac:dyDescent="0.45">
      <c r="Z33" s="4" t="s">
        <v>51</v>
      </c>
    </row>
    <row r="34" spans="18:30" ht="12.6" thickBot="1" x14ac:dyDescent="0.45">
      <c r="S34" s="29"/>
      <c r="T34" s="49" t="s">
        <v>17</v>
      </c>
      <c r="U34" s="50"/>
      <c r="V34" s="49" t="s">
        <v>18</v>
      </c>
      <c r="W34" s="50"/>
      <c r="X34" s="50"/>
      <c r="Z34" s="42"/>
      <c r="AA34" s="42"/>
      <c r="AB34" s="46" t="s">
        <v>17</v>
      </c>
      <c r="AC34" s="1" t="s">
        <v>50</v>
      </c>
      <c r="AD34" s="47" t="s">
        <v>18</v>
      </c>
    </row>
    <row r="35" spans="18:30" x14ac:dyDescent="0.4">
      <c r="R35" s="1" t="s">
        <v>25</v>
      </c>
      <c r="S35" s="29" t="str">
        <f>_xlfn.CONCAT(R35," (",TEXT(A3,"mm/dd/yyyy")," - ",TEXT(A9,"mm/dd/yyyy"),")")</f>
        <v>Week 1 (01/06/2026 - 01/12/2026)</v>
      </c>
      <c r="T35" s="51">
        <f>AVERAGE(B3:B9)</f>
        <v>72987.142857142855</v>
      </c>
      <c r="U35" s="52" t="str">
        <f>IF(T35&lt;=$AB$35,$AC$35,IF(T35&gt;=$AB$37,$AC$37,$AC$36))</f>
        <v>hi</v>
      </c>
      <c r="V35" s="51">
        <f>AVERAGE(E3:E9)</f>
        <v>3590.8571428571427</v>
      </c>
      <c r="W35" s="52" t="str">
        <f>IF(V35&lt;=$AD$35,$AC$35,IF(V35&gt;=$AD$37,$AC$37,$AC$36))</f>
        <v>med</v>
      </c>
      <c r="X35" s="50" t="str">
        <f>_xlfn.CONCAT(U35,W35)</f>
        <v>himed</v>
      </c>
      <c r="Z35" s="44"/>
      <c r="AA35" s="44" t="s">
        <v>48</v>
      </c>
      <c r="AB35" s="1">
        <v>13145</v>
      </c>
      <c r="AC35" s="1" t="s">
        <v>47</v>
      </c>
      <c r="AD35" s="1">
        <v>1983</v>
      </c>
    </row>
    <row r="36" spans="18:30" ht="14.4" x14ac:dyDescent="0.55000000000000004">
      <c r="R36" s="1" t="s">
        <v>26</v>
      </c>
      <c r="S36" s="29" t="str">
        <f>_xlfn.CONCAT(R36," (",TEXT(A10,"mm/dd/yyyy")," - ",TEXT(A16,"mm/dd/yyyy"),")")</f>
        <v>Week 2 (01/13/2026 - 01/19/2026)</v>
      </c>
      <c r="T36" s="51">
        <f>AVERAGE(B10:B16)</f>
        <v>63254.428571428572</v>
      </c>
      <c r="U36" s="52" t="str">
        <f>IF(T36&lt;=$AB$35,$AC$35,IF(T36&gt;=$AB$37,$AC$37,$AC$36))</f>
        <v>hi</v>
      </c>
      <c r="V36" s="51">
        <f>AVERAGE(E10:E16)</f>
        <v>2551.8571428571427</v>
      </c>
      <c r="W36" s="52" t="str">
        <f>IF(V36&lt;=$AD$35,$AC$35,IF(V36&gt;=$AD$37,$AC$37,$AC$36))</f>
        <v>med</v>
      </c>
      <c r="X36" s="50" t="str">
        <f>_xlfn.CONCAT(U36,W36)</f>
        <v>himed</v>
      </c>
      <c r="Z36" s="45"/>
      <c r="AA36" s="45"/>
      <c r="AB36" s="1">
        <v>24725</v>
      </c>
      <c r="AC36" s="1" t="s">
        <v>19</v>
      </c>
      <c r="AD36" s="1">
        <v>4096</v>
      </c>
    </row>
    <row r="37" spans="18:30" x14ac:dyDescent="0.4">
      <c r="R37" s="1" t="s">
        <v>27</v>
      </c>
      <c r="S37" s="29" t="str">
        <f>_xlfn.CONCAT(R37," (",TEXT(A17,"mm/dd/yyyy")," - ",TEXT(A23,"mm/dd/yyyy"),")")</f>
        <v>Week 3 (01/20/2026 - 01/26/2026)</v>
      </c>
      <c r="T37" s="51">
        <f>AVERAGE(B18:B24)</f>
        <v>62756</v>
      </c>
      <c r="U37" s="52" t="str">
        <f>IF(T37&lt;=$AB$35,$AC$35,IF(T37&gt;=$AB$37,$AC$37,$AC$36))</f>
        <v>hi</v>
      </c>
      <c r="V37" s="51">
        <f>AVERAGE(E18:E24)</f>
        <v>2555</v>
      </c>
      <c r="W37" s="52" t="str">
        <f>IF(V37&lt;=$AD$35,$AC$35,IF(V37&gt;=$AD$37,$AC$37,$AC$36))</f>
        <v>med</v>
      </c>
      <c r="X37" s="50" t="str">
        <f>_xlfn.CONCAT(U37,W37)</f>
        <v>himed</v>
      </c>
      <c r="AA37" s="48" t="s">
        <v>49</v>
      </c>
      <c r="AB37" s="1">
        <v>24726</v>
      </c>
      <c r="AC37" s="1" t="s">
        <v>20</v>
      </c>
      <c r="AD37" s="1">
        <v>4097</v>
      </c>
    </row>
    <row r="40" spans="18:30" ht="12.6" thickBot="1" x14ac:dyDescent="0.45"/>
    <row r="41" spans="18:30" ht="34.5" thickBot="1" x14ac:dyDescent="0.45">
      <c r="S41" s="30"/>
      <c r="T41" s="31" t="s">
        <v>21</v>
      </c>
      <c r="U41" s="32" t="s">
        <v>15</v>
      </c>
      <c r="V41" s="33" t="s">
        <v>16</v>
      </c>
      <c r="W41" s="32" t="s">
        <v>22</v>
      </c>
      <c r="X41" s="32" t="s">
        <v>23</v>
      </c>
      <c r="Y41" s="32" t="s">
        <v>24</v>
      </c>
      <c r="Z41" s="34"/>
    </row>
    <row r="42" spans="18:30" ht="12.6" thickBot="1" x14ac:dyDescent="0.45">
      <c r="S42" s="58" t="s">
        <v>25</v>
      </c>
      <c r="T42" s="35">
        <v>-6250</v>
      </c>
      <c r="U42" s="36">
        <f>AVERAGE(N3:N9)</f>
        <v>9031.4285714285706</v>
      </c>
      <c r="V42" s="36">
        <f>AVERAGE(K3:K9)</f>
        <v>7585.7142857142853</v>
      </c>
      <c r="W42" s="36">
        <f>V42+U42</f>
        <v>16617.142857142855</v>
      </c>
      <c r="X42" s="37">
        <f>U42/(U42+V42)</f>
        <v>0.54350068775790927</v>
      </c>
      <c r="Y42" s="38">
        <f>V42/(V42+U42)</f>
        <v>0.45649931224209084</v>
      </c>
      <c r="Z42" s="39"/>
      <c r="AA42" s="61">
        <f>W42/1.98</f>
        <v>8392.4963924963922</v>
      </c>
    </row>
    <row r="43" spans="18:30" ht="12.6" thickBot="1" x14ac:dyDescent="0.45">
      <c r="S43" s="59"/>
      <c r="T43" s="35">
        <v>-5000</v>
      </c>
      <c r="U43" s="36">
        <f>AVERAGE(W3:W9)</f>
        <v>7537.2857142857147</v>
      </c>
      <c r="V43" s="36">
        <f>AVERAGE(T3:T9)</f>
        <v>6120.2857142857147</v>
      </c>
      <c r="W43" s="36">
        <f t="shared" ref="W43:W53" si="34">V43+U43</f>
        <v>13657.571428571429</v>
      </c>
      <c r="X43" s="37">
        <f t="shared" ref="X43:X53" si="35">U43/(U43+V43)</f>
        <v>0.5518759871552148</v>
      </c>
      <c r="Y43" s="38">
        <f t="shared" ref="Y43:Y53" si="36">V43/(V43+U43)</f>
        <v>0.4481240128447852</v>
      </c>
      <c r="Z43" s="39"/>
      <c r="AA43" s="61">
        <f t="shared" ref="AA43:AA53" si="37">W43/1.98</f>
        <v>6897.7633477633481</v>
      </c>
    </row>
    <row r="44" spans="18:30" ht="12.6" thickBot="1" x14ac:dyDescent="0.45">
      <c r="S44" s="59"/>
      <c r="T44" s="35">
        <v>-3250</v>
      </c>
      <c r="U44" s="36">
        <f>AVERAGE(AF3:AF9)</f>
        <v>6035.1428571428569</v>
      </c>
      <c r="V44" s="36">
        <f>AVERAGE(AC3:AC9)</f>
        <v>4590.2857142857147</v>
      </c>
      <c r="W44" s="36">
        <f t="shared" si="34"/>
        <v>10625.428571428572</v>
      </c>
      <c r="X44" s="37">
        <f t="shared" si="35"/>
        <v>0.5679905348355696</v>
      </c>
      <c r="Y44" s="38">
        <f t="shared" si="36"/>
        <v>0.43200946516443034</v>
      </c>
      <c r="Z44" s="39"/>
      <c r="AA44" s="61">
        <f t="shared" si="37"/>
        <v>5366.3780663780672</v>
      </c>
    </row>
    <row r="45" spans="18:30" ht="12.6" thickBot="1" x14ac:dyDescent="0.45">
      <c r="S45" s="60"/>
      <c r="T45" s="35">
        <v>-2000</v>
      </c>
      <c r="U45" s="36">
        <f>AVERAGE(AO3:AO9)</f>
        <v>4306.7142857142853</v>
      </c>
      <c r="V45" s="36">
        <f>AVERAGE(AL3:AL9)</f>
        <v>3343.7142857142858</v>
      </c>
      <c r="W45" s="36">
        <f t="shared" si="34"/>
        <v>7650.4285714285706</v>
      </c>
      <c r="X45" s="37">
        <f t="shared" si="35"/>
        <v>0.56293765055178979</v>
      </c>
      <c r="Y45" s="38">
        <f t="shared" si="36"/>
        <v>0.43706234944821026</v>
      </c>
      <c r="Z45" s="39"/>
      <c r="AA45" s="61">
        <f t="shared" si="37"/>
        <v>3863.8528138528136</v>
      </c>
    </row>
    <row r="46" spans="18:30" ht="12.6" thickBot="1" x14ac:dyDescent="0.45">
      <c r="S46" s="58" t="s">
        <v>26</v>
      </c>
      <c r="T46" s="35">
        <v>-6250</v>
      </c>
      <c r="U46" s="36">
        <f>AVERAGE(N10:N16)</f>
        <v>8800</v>
      </c>
      <c r="V46" s="36">
        <f>AVERAGE(K10:K16)</f>
        <v>6400</v>
      </c>
      <c r="W46" s="36">
        <f t="shared" si="34"/>
        <v>15200</v>
      </c>
      <c r="X46" s="37">
        <f t="shared" si="35"/>
        <v>0.57894736842105265</v>
      </c>
      <c r="Y46" s="38">
        <f t="shared" si="36"/>
        <v>0.42105263157894735</v>
      </c>
      <c r="Z46" s="39"/>
      <c r="AA46" s="61">
        <f t="shared" si="37"/>
        <v>7676.7676767676767</v>
      </c>
    </row>
    <row r="47" spans="18:30" ht="12.6" thickBot="1" x14ac:dyDescent="0.45">
      <c r="S47" s="59"/>
      <c r="T47" s="35">
        <v>-5000</v>
      </c>
      <c r="U47" s="36">
        <f>AVERAGE(W10:W16)</f>
        <v>6942</v>
      </c>
      <c r="V47" s="36">
        <f>AVERAGE(T10:T16)</f>
        <v>5355</v>
      </c>
      <c r="W47" s="36">
        <f t="shared" si="34"/>
        <v>12297</v>
      </c>
      <c r="X47" s="37">
        <f t="shared" si="35"/>
        <v>0.56452793364235176</v>
      </c>
      <c r="Y47" s="38">
        <f t="shared" si="36"/>
        <v>0.43547206635764818</v>
      </c>
      <c r="Z47" s="39"/>
      <c r="AA47" s="61">
        <f t="shared" si="37"/>
        <v>6210.606060606061</v>
      </c>
    </row>
    <row r="48" spans="18:30" ht="12.6" thickBot="1" x14ac:dyDescent="0.45">
      <c r="S48" s="59"/>
      <c r="T48" s="35">
        <v>-3250</v>
      </c>
      <c r="U48" s="36">
        <f>AVERAGE(AF10:AF16)</f>
        <v>5355</v>
      </c>
      <c r="V48" s="36">
        <f>AVERAGE(AC10:AC16)</f>
        <v>3570</v>
      </c>
      <c r="W48" s="36">
        <f t="shared" si="34"/>
        <v>8925</v>
      </c>
      <c r="X48" s="37">
        <f t="shared" si="35"/>
        <v>0.6</v>
      </c>
      <c r="Y48" s="38">
        <f t="shared" si="36"/>
        <v>0.4</v>
      </c>
      <c r="Z48" s="39"/>
      <c r="AA48" s="61">
        <f t="shared" si="37"/>
        <v>4507.575757575758</v>
      </c>
    </row>
    <row r="49" spans="19:27" ht="12.6" thickBot="1" x14ac:dyDescent="0.45">
      <c r="S49" s="60"/>
      <c r="T49" s="35">
        <v>-2000</v>
      </c>
      <c r="U49" s="36">
        <f>AVERAGE(AO10:AO16)</f>
        <v>3570</v>
      </c>
      <c r="V49" s="36">
        <f>AVERAGE(AL10:AL16)</f>
        <v>2182</v>
      </c>
      <c r="W49" s="36">
        <f t="shared" si="34"/>
        <v>5752</v>
      </c>
      <c r="X49" s="37">
        <f t="shared" si="35"/>
        <v>0.62065368567454793</v>
      </c>
      <c r="Y49" s="38">
        <f t="shared" si="36"/>
        <v>0.37934631432545202</v>
      </c>
      <c r="Z49" s="39"/>
      <c r="AA49" s="61">
        <f t="shared" si="37"/>
        <v>2905.0505050505049</v>
      </c>
    </row>
    <row r="50" spans="19:27" ht="12.6" thickBot="1" x14ac:dyDescent="0.45">
      <c r="S50" s="58" t="s">
        <v>27</v>
      </c>
      <c r="T50" s="35">
        <v>-6250</v>
      </c>
      <c r="U50" s="36">
        <f>AVERAGE(N18:N24)</f>
        <v>8800</v>
      </c>
      <c r="V50" s="36">
        <f>AVERAGE(K18:K24)</f>
        <v>6400</v>
      </c>
      <c r="W50" s="36">
        <f t="shared" si="34"/>
        <v>15200</v>
      </c>
      <c r="X50" s="37">
        <f t="shared" si="35"/>
        <v>0.57894736842105265</v>
      </c>
      <c r="Y50" s="38">
        <f t="shared" si="36"/>
        <v>0.42105263157894735</v>
      </c>
      <c r="Z50" s="39"/>
      <c r="AA50" s="61">
        <f t="shared" si="37"/>
        <v>7676.7676767676767</v>
      </c>
    </row>
    <row r="51" spans="19:27" ht="12.6" thickBot="1" x14ac:dyDescent="0.45">
      <c r="S51" s="59"/>
      <c r="T51" s="35">
        <v>-5000</v>
      </c>
      <c r="U51" s="36">
        <f>AVERAGE(N19:N25)</f>
        <v>8810.5194805194806</v>
      </c>
      <c r="V51" s="36">
        <f>AVERAGE(T18:T24)</f>
        <v>5355</v>
      </c>
      <c r="W51" s="36">
        <f t="shared" si="34"/>
        <v>14165.519480519481</v>
      </c>
      <c r="X51" s="37">
        <f t="shared" si="35"/>
        <v>0.62196938789542933</v>
      </c>
      <c r="Y51" s="38">
        <f t="shared" si="36"/>
        <v>0.37803061210457073</v>
      </c>
      <c r="Z51" s="39"/>
      <c r="AA51" s="61">
        <f t="shared" si="37"/>
        <v>7154.3027679391316</v>
      </c>
    </row>
    <row r="52" spans="19:27" ht="12.6" thickBot="1" x14ac:dyDescent="0.45">
      <c r="S52" s="59"/>
      <c r="T52" s="35">
        <v>-3250</v>
      </c>
      <c r="U52" s="36">
        <f>AVERAGE(N20:N26)</f>
        <v>8812.2727272727279</v>
      </c>
      <c r="V52" s="36">
        <f>AVERAGE(AC18:AC24)</f>
        <v>3570</v>
      </c>
      <c r="W52" s="36">
        <f t="shared" si="34"/>
        <v>12382.272727272728</v>
      </c>
      <c r="X52" s="37">
        <f t="shared" si="35"/>
        <v>0.71168459307661247</v>
      </c>
      <c r="Y52" s="38">
        <f t="shared" si="36"/>
        <v>0.28831540692338753</v>
      </c>
      <c r="Z52" s="39"/>
      <c r="AA52" s="61">
        <f t="shared" si="37"/>
        <v>6253.6730945821855</v>
      </c>
    </row>
    <row r="53" spans="19:27" ht="12.6" thickBot="1" x14ac:dyDescent="0.45">
      <c r="S53" s="60"/>
      <c r="T53" s="35">
        <v>-2000</v>
      </c>
      <c r="U53" s="36">
        <f>AVERAGE(N21:N27)</f>
        <v>8814.7272727272739</v>
      </c>
      <c r="V53" s="36">
        <f>AVERAGE(AL18:AL24)</f>
        <v>2182</v>
      </c>
      <c r="W53" s="36">
        <f t="shared" si="34"/>
        <v>10996.727272727274</v>
      </c>
      <c r="X53" s="37">
        <f t="shared" si="35"/>
        <v>0.80157732879203736</v>
      </c>
      <c r="Y53" s="38">
        <f t="shared" si="36"/>
        <v>0.19842267120796267</v>
      </c>
      <c r="Z53" s="39"/>
      <c r="AA53" s="61">
        <f t="shared" si="37"/>
        <v>5553.9026629935724</v>
      </c>
    </row>
    <row r="54" spans="19:27" x14ac:dyDescent="0.4">
      <c r="S54" s="40"/>
    </row>
    <row r="55" spans="19:27" x14ac:dyDescent="0.4">
      <c r="S55" s="40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O50"/>
  <sheetViews>
    <sheetView workbookViewId="0">
      <selection activeCell="Q12" sqref="Q12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2579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3372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4165</v>
      </c>
      <c r="C30">
        <v>5355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4364</v>
      </c>
      <c r="C31">
        <v>3570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3570</v>
      </c>
      <c r="C32">
        <v>3570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3174</v>
      </c>
      <c r="C33">
        <v>3570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2579</v>
      </c>
      <c r="C34">
        <v>3570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2182</v>
      </c>
      <c r="C35">
        <v>3570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2182</v>
      </c>
      <c r="C36">
        <v>3570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2182</v>
      </c>
      <c r="C37">
        <v>3570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2182</v>
      </c>
      <c r="C38">
        <v>3570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2182</v>
      </c>
      <c r="C39">
        <v>3570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2182</v>
      </c>
      <c r="C40">
        <v>3570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2182</v>
      </c>
      <c r="C41">
        <v>3570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2182</v>
      </c>
      <c r="C42">
        <v>3570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2182</v>
      </c>
      <c r="C43">
        <v>3570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f>A43+1</f>
        <v>46043</v>
      </c>
      <c r="B44">
        <v>2182</v>
      </c>
      <c r="C44">
        <v>3570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f t="shared" ref="A45:A50" si="0">A44+1</f>
        <v>46044</v>
      </c>
      <c r="B45">
        <v>2182</v>
      </c>
      <c r="C45">
        <v>3570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f t="shared" si="0"/>
        <v>46045</v>
      </c>
      <c r="B46">
        <v>2182</v>
      </c>
      <c r="C46">
        <v>3570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f t="shared" si="0"/>
        <v>46046</v>
      </c>
      <c r="B47">
        <v>2182</v>
      </c>
      <c r="C47">
        <v>3570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f t="shared" si="0"/>
        <v>46047</v>
      </c>
      <c r="B48">
        <v>2182</v>
      </c>
      <c r="C48">
        <v>3570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f t="shared" si="0"/>
        <v>46048</v>
      </c>
      <c r="B49">
        <v>2182</v>
      </c>
      <c r="C49">
        <v>3570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f t="shared" si="0"/>
        <v>46049</v>
      </c>
      <c r="B50">
        <v>2182</v>
      </c>
      <c r="C50">
        <v>3570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O50"/>
  <sheetViews>
    <sheetView workbookViewId="0">
      <selection sqref="A1:XFD1048576"/>
    </sheetView>
  </sheetViews>
  <sheetFormatPr defaultRowHeight="14.4" x14ac:dyDescent="0.55000000000000004"/>
  <cols>
    <col min="1" max="1" width="10.1562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4165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4760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5951</v>
      </c>
      <c r="C30">
        <v>6942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4165</v>
      </c>
      <c r="C31">
        <v>6942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4959</v>
      </c>
      <c r="C32">
        <v>5355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4562</v>
      </c>
      <c r="C33">
        <v>5355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4165</v>
      </c>
      <c r="C34">
        <v>5355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3570</v>
      </c>
      <c r="C35">
        <v>5355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3570</v>
      </c>
      <c r="C36">
        <v>5355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3570</v>
      </c>
      <c r="C37">
        <v>5355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3570</v>
      </c>
      <c r="C38">
        <v>5355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3570</v>
      </c>
      <c r="C39">
        <v>5355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3570</v>
      </c>
      <c r="C40">
        <v>5355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3570</v>
      </c>
      <c r="C41">
        <v>5355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3570</v>
      </c>
      <c r="C42">
        <v>5355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3570</v>
      </c>
      <c r="C43">
        <v>5355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3570</v>
      </c>
      <c r="C44">
        <v>5355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3570</v>
      </c>
      <c r="C45">
        <v>5355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3570</v>
      </c>
      <c r="C46">
        <v>5355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3570</v>
      </c>
      <c r="C47">
        <v>5355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3570</v>
      </c>
      <c r="C48">
        <v>5355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3570</v>
      </c>
      <c r="C49">
        <v>5355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3570</v>
      </c>
      <c r="C50">
        <v>5355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O50"/>
  <sheetViews>
    <sheetView workbookViewId="0">
      <selection sqref="A1:XFD1048576"/>
    </sheetView>
  </sheetViews>
  <sheetFormatPr defaultRowHeight="14.4" x14ac:dyDescent="0.55000000000000004"/>
  <cols>
    <col min="1" max="1" width="12.2617187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5554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6347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7537</v>
      </c>
      <c r="C30">
        <v>8331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6149</v>
      </c>
      <c r="C31">
        <v>8331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5355</v>
      </c>
      <c r="C32">
        <v>8331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6347</v>
      </c>
      <c r="C33">
        <v>6942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5752</v>
      </c>
      <c r="C34">
        <v>6942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5355</v>
      </c>
      <c r="C35">
        <v>6942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5355</v>
      </c>
      <c r="C36">
        <v>6942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5355</v>
      </c>
      <c r="C37">
        <v>6942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5355</v>
      </c>
      <c r="C38">
        <v>6942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5355</v>
      </c>
      <c r="C39">
        <v>6942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5355</v>
      </c>
      <c r="C40">
        <v>6942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5355</v>
      </c>
      <c r="C41">
        <v>6942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5355</v>
      </c>
      <c r="C42">
        <v>6942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5355</v>
      </c>
      <c r="C43">
        <v>6942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5355</v>
      </c>
      <c r="C44">
        <v>6942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5355</v>
      </c>
      <c r="C45">
        <v>6942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5355</v>
      </c>
      <c r="C46">
        <v>6942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5355</v>
      </c>
      <c r="C47">
        <v>6942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5355</v>
      </c>
      <c r="C48">
        <v>6942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5355</v>
      </c>
      <c r="C49">
        <v>6942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5355</v>
      </c>
      <c r="C50">
        <v>6942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O50"/>
  <sheetViews>
    <sheetView workbookViewId="0">
      <selection sqref="A1:XFD1048576"/>
    </sheetView>
  </sheetViews>
  <sheetFormatPr defaultRowHeight="14.4" x14ac:dyDescent="0.55000000000000004"/>
  <cols>
    <col min="1" max="1" width="10.367187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46030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6000</v>
      </c>
      <c r="C22">
        <v>8400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6000</v>
      </c>
      <c r="C23">
        <v>8400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6400</v>
      </c>
      <c r="C24">
        <v>8400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6400</v>
      </c>
      <c r="C25">
        <v>8400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6500</v>
      </c>
      <c r="C26">
        <v>8400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7100</v>
      </c>
      <c r="C27">
        <v>8400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7100</v>
      </c>
      <c r="C28">
        <v>8400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7600</v>
      </c>
      <c r="C29">
        <v>8800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9800</v>
      </c>
      <c r="C30">
        <v>9124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8300</v>
      </c>
      <c r="C31">
        <v>9124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7400</v>
      </c>
      <c r="C32">
        <v>9124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7100</v>
      </c>
      <c r="C33">
        <v>9124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6500</v>
      </c>
      <c r="C34">
        <v>9124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6400</v>
      </c>
      <c r="C35">
        <v>8800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6400</v>
      </c>
      <c r="C36">
        <v>8800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6400</v>
      </c>
      <c r="C37">
        <v>8800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6400</v>
      </c>
      <c r="C38">
        <v>8800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6400</v>
      </c>
      <c r="C39">
        <v>8800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6400</v>
      </c>
      <c r="C40">
        <v>8800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6400</v>
      </c>
      <c r="C41">
        <v>8800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6400</v>
      </c>
      <c r="C42">
        <v>8800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6400</v>
      </c>
      <c r="C43">
        <v>8800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6400</v>
      </c>
      <c r="C44">
        <v>8800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6400</v>
      </c>
      <c r="C45">
        <v>8800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6400</v>
      </c>
      <c r="C46">
        <v>8800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6400</v>
      </c>
      <c r="C47">
        <v>8800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6400</v>
      </c>
      <c r="C48">
        <v>8800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6400</v>
      </c>
      <c r="C49">
        <v>8800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6400</v>
      </c>
      <c r="C50">
        <v>8800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plot_example</vt:lpstr>
      <vt:lpstr>01_05_OMRI -2000</vt:lpstr>
      <vt:lpstr>01_05_OMRI -3500</vt:lpstr>
      <vt:lpstr>01_05_OMRI -5000</vt:lpstr>
      <vt:lpstr>01_05_OMRI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2026-01-07T19:50:57Z</dcterms:created>
  <dcterms:modified xsi:type="dcterms:W3CDTF">2026-04-15T04:10:57Z</dcterms:modified>
</cp:coreProperties>
</file>