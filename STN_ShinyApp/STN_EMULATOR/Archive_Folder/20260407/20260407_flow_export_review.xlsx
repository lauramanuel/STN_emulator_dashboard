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407\"/>
    </mc:Choice>
  </mc:AlternateContent>
  <xr:revisionPtr revIDLastSave="0" documentId="13_ncr:1_{1195C9DF-0BEF-4337-8E85-B1335B5264E6}" xr6:coauthVersionLast="47" xr6:coauthVersionMax="47" xr10:uidLastSave="{00000000-0000-0000-0000-000000000000}"/>
  <bookViews>
    <workbookView xWindow="22932" yWindow="-108" windowWidth="30936" windowHeight="16776" tabRatio="730" activeTab="2" xr2:uid="{F4ABB958-1465-40BE-9892-13FA47FA3211}"/>
  </bookViews>
  <sheets>
    <sheet name="README" sheetId="7" r:id="rId1"/>
    <sheet name="ForZOI" sheetId="9" r:id="rId2"/>
    <sheet name="plot_example" sheetId="2" r:id="rId3"/>
    <sheet name="04_06_OMRI-2000" sheetId="6" r:id="rId4"/>
    <sheet name="04_06_OMRI -3500" sheetId="4" r:id="rId5"/>
    <sheet name="04_06_OMRI -5000" sheetId="5" r:id="rId6"/>
    <sheet name="04_06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<sst xmlns="http://schemas.openxmlformats.org/spreadsheetml/2006/main" count="443" uniqueCount="81">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</sst>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3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1" fillId="0" borderId="27" xfId="1" applyBorder="1" applyAlignment="1">
      <alignment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13022</c:v>
                </c:pt>
                <c:pt idx="1">
                  <c:v>12783</c:v>
                </c:pt>
                <c:pt idx="2">
                  <c:v>12865</c:v>
                </c:pt>
                <c:pt idx="3">
                  <c:v>13590</c:v>
                </c:pt>
                <c:pt idx="4">
                  <c:v>15314</c:v>
                </c:pt>
                <c:pt idx="5">
                  <c:v>16511</c:v>
                </c:pt>
                <c:pt idx="6">
                  <c:v>16887</c:v>
                </c:pt>
                <c:pt idx="7">
                  <c:v>16858</c:v>
                </c:pt>
                <c:pt idx="8">
                  <c:v>16705</c:v>
                </c:pt>
                <c:pt idx="9">
                  <c:v>16000</c:v>
                </c:pt>
                <c:pt idx="10">
                  <c:v>15000</c:v>
                </c:pt>
                <c:pt idx="11">
                  <c:v>14000</c:v>
                </c:pt>
                <c:pt idx="12">
                  <c:v>13000</c:v>
                </c:pt>
                <c:pt idx="13">
                  <c:v>13000</c:v>
                </c:pt>
                <c:pt idx="14">
                  <c:v>13000</c:v>
                </c:pt>
                <c:pt idx="15">
                  <c:v>13000</c:v>
                </c:pt>
                <c:pt idx="16">
                  <c:v>13000</c:v>
                </c:pt>
                <c:pt idx="17">
                  <c:v>13000</c:v>
                </c:pt>
                <c:pt idx="18">
                  <c:v>13000</c:v>
                </c:pt>
                <c:pt idx="19">
                  <c:v>13000</c:v>
                </c:pt>
                <c:pt idx="20">
                  <c:v>13000</c:v>
                </c:pt>
                <c:pt idx="21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2637</c:v>
                </c:pt>
                <c:pt idx="1">
                  <c:v>2604</c:v>
                </c:pt>
                <c:pt idx="2">
                  <c:v>2572</c:v>
                </c:pt>
                <c:pt idx="3">
                  <c:v>2547</c:v>
                </c:pt>
                <c:pt idx="4">
                  <c:v>2500</c:v>
                </c:pt>
                <c:pt idx="5">
                  <c:v>2450</c:v>
                </c:pt>
                <c:pt idx="6">
                  <c:v>2400</c:v>
                </c:pt>
                <c:pt idx="7">
                  <c:v>2350</c:v>
                </c:pt>
                <c:pt idx="8">
                  <c:v>2300</c:v>
                </c:pt>
                <c:pt idx="9">
                  <c:v>2250</c:v>
                </c:pt>
                <c:pt idx="10">
                  <c:v>2200</c:v>
                </c:pt>
                <c:pt idx="11">
                  <c:v>2200</c:v>
                </c:pt>
                <c:pt idx="12">
                  <c:v>2200</c:v>
                </c:pt>
                <c:pt idx="13">
                  <c:v>2200</c:v>
                </c:pt>
                <c:pt idx="14">
                  <c:v>2200</c:v>
                </c:pt>
                <c:pt idx="15">
                  <c:v>2200</c:v>
                </c:pt>
                <c:pt idx="16">
                  <c:v>2200</c:v>
                </c:pt>
                <c:pt idx="17">
                  <c:v>2200</c:v>
                </c:pt>
                <c:pt idx="18">
                  <c:v>2200</c:v>
                </c:pt>
                <c:pt idx="19">
                  <c:v>2200</c:v>
                </c:pt>
                <c:pt idx="20">
                  <c:v>2200</c:v>
                </c:pt>
                <c:pt idx="2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40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40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46137</c:v>
                </c:pt>
                <c:pt idx="19">
                  <c:v>46138</c:v>
                </c:pt>
                <c:pt idx="20">
                  <c:v>46139</c:v>
                </c:pt>
                <c:pt idx="21">
                  <c:v>46140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41831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D31" sqref="D31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topLeftCell="A5" workbookViewId="0">
      <selection activeCell="C20" sqref="C20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(04/07/2026 - 04/13/2026)</v>
      </c>
      <c r="C4" s="50">
        <f>plot_example!T35</f>
        <v>14424.571428571429</v>
      </c>
      <c r="D4" s="50" t="str">
        <f>plot_example!U35</f>
        <v>med</v>
      </c>
      <c r="E4" s="50">
        <f>plot_example!V35</f>
        <v>2530</v>
      </c>
      <c r="F4" s="50" t="str">
        <f>plot_example!W35</f>
        <v>med</v>
      </c>
      <c r="G4" s="50" t="str">
        <f>plot_example!X35</f>
        <v>medmed</v>
      </c>
    </row>
    <row r="5" spans="2:7" ht="40.799999999999997" customHeight="1" x14ac:dyDescent="0.3">
      <c r="B5" s="52" t="str">
        <f>plot_example!S36</f>
        <v>Week 2 (04/14/2026 - 04/20/2026)</v>
      </c>
      <c r="C5" s="50">
        <f>plot_example!T36</f>
        <v>14937.571428571429</v>
      </c>
      <c r="D5" s="50" t="str">
        <f>plot_example!U36</f>
        <v>med</v>
      </c>
      <c r="E5" s="50">
        <f>plot_example!V36</f>
        <v>2242.8571428571427</v>
      </c>
      <c r="F5" s="50" t="str">
        <f>plot_example!W36</f>
        <v>med</v>
      </c>
      <c r="G5" s="50" t="str">
        <f>plot_example!X36</f>
        <v>medmed</v>
      </c>
    </row>
    <row r="6" spans="2:7" ht="40.799999999999997" customHeight="1" x14ac:dyDescent="0.3">
      <c r="B6" s="52" t="str">
        <f>plot_example!S37</f>
        <v>Week 3 (04/21/2026 - 04/27/2026)</v>
      </c>
      <c r="C6" s="50">
        <f>plot_example!T37</f>
        <v>13000</v>
      </c>
      <c r="D6" s="50" t="str">
        <f>plot_example!U37</f>
        <v>lo</v>
      </c>
      <c r="E6" s="50">
        <f>plot_example!V37</f>
        <v>2200</v>
      </c>
      <c r="F6" s="50" t="str">
        <f>plot_example!W37</f>
        <v>med</v>
      </c>
      <c r="G6" s="50" t="str">
        <f>plot_example!X37</f>
        <v>lomed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zoomScale="110" zoomScaleNormal="110" workbookViewId="0">
      <selection activeCell="R28" sqref="R28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9" t="s">
        <v>74</v>
      </c>
      <c r="I1" s="80"/>
      <c r="J1" s="80"/>
      <c r="K1" s="80"/>
      <c r="L1" s="80"/>
      <c r="M1" s="80"/>
      <c r="N1" s="80"/>
      <c r="O1" s="80"/>
      <c r="P1" s="81"/>
      <c r="Q1" s="79" t="s">
        <v>55</v>
      </c>
      <c r="R1" s="80"/>
      <c r="S1" s="80"/>
      <c r="T1" s="80"/>
      <c r="U1" s="80"/>
      <c r="V1" s="80"/>
      <c r="W1" s="80"/>
      <c r="X1" s="80"/>
      <c r="Y1" s="81"/>
      <c r="Z1" s="79" t="s">
        <v>54</v>
      </c>
      <c r="AA1" s="80"/>
      <c r="AB1" s="80"/>
      <c r="AC1" s="80"/>
      <c r="AD1" s="80"/>
      <c r="AE1" s="80"/>
      <c r="AF1" s="80"/>
      <c r="AG1" s="80"/>
      <c r="AH1" s="81"/>
      <c r="AI1" s="3"/>
      <c r="AJ1" s="3"/>
      <c r="AK1" s="3"/>
      <c r="AL1" s="79" t="s">
        <v>53</v>
      </c>
      <c r="AM1" s="80"/>
      <c r="AN1" s="80"/>
      <c r="AO1" s="80"/>
      <c r="AP1" s="80"/>
      <c r="AQ1" s="81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75"/>
    </row>
    <row r="3" spans="1:48" ht="14.4" x14ac:dyDescent="0.3">
      <c r="A3" s="47">
        <v>46119</v>
      </c>
      <c r="B3" s="7">
        <f>INDEX('04_06_OMRI-2000'!$E$4:$E$393,MATCH($A3,'04_06_OMRI-2000'!$A$4:$A$393,0))</f>
        <v>13022</v>
      </c>
      <c r="C3" s="74">
        <f>DSM2_Historic_data!B3</f>
        <v>0</v>
      </c>
      <c r="D3" s="1">
        <f t="shared" ref="D3:D7" si="0">B3</f>
        <v>13022</v>
      </c>
      <c r="E3" s="7">
        <f>INDEX('04_06_OMRI-2000'!$D$4:$D$393,MATCH($A3,'04_06_OMRI-2000'!$A$4:$A$393,0))</f>
        <v>2637</v>
      </c>
      <c r="F3" s="74">
        <f>DSM2_Historic_data!C3</f>
        <v>0</v>
      </c>
      <c r="G3" s="1">
        <f t="shared" ref="G3:G7" si="1">E3</f>
        <v>2637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INDEX('04_06_OMRI -6500'!$B4:$B400,MATCH($A3,'04_06_OMRI -6500'!$A4:$A400,0))/1.98</f>
        <v>601.01010101010104</v>
      </c>
      <c r="L3" s="74">
        <f>DSM2_Historic_data!D3</f>
        <v>0</v>
      </c>
      <c r="M3" s="49">
        <f t="shared" ref="M3:M7" si="4">K3</f>
        <v>601.01010101010104</v>
      </c>
      <c r="N3" s="10">
        <f>INDEX('04_06_OMRI -6500'!$C4:$C400,MATCH($A3,'04_06_OMRI -6500'!$A4:$A400,0))/1.98</f>
        <v>3506.060606060606</v>
      </c>
      <c r="O3" s="74">
        <f>DSM2_Historic_data!E3</f>
        <v>0</v>
      </c>
      <c r="P3" s="49">
        <f t="shared" ref="P3:P7" si="5">N3</f>
        <v>3506.060606060606</v>
      </c>
      <c r="Q3" s="1">
        <v>-5000</v>
      </c>
      <c r="R3" s="8"/>
      <c r="S3" s="1">
        <f t="shared" ref="S3:S7" si="6">Q3</f>
        <v>-5000</v>
      </c>
      <c r="T3" s="46">
        <f>INDEX('04_06_OMRI -5000'!$B4:$B393,MATCH($A3,'04_06_OMRI -5000'!$A4:$A393,0))/1.98</f>
        <v>601.01010101010104</v>
      </c>
      <c r="U3" s="8"/>
      <c r="V3" s="49">
        <f>T3</f>
        <v>601.01010101010104</v>
      </c>
      <c r="W3" s="46">
        <f>INDEX('04_06_OMRI -5000'!$C4:$C393,MATCH($A3,'04_06_OMRI -5000'!$A4:$A393,0))/1.98</f>
        <v>3506.060606060606</v>
      </c>
      <c r="X3" s="8"/>
      <c r="Y3" s="49">
        <f t="shared" ref="Y3:Y7" si="7">W3</f>
        <v>3506.060606060606</v>
      </c>
      <c r="Z3" s="1">
        <v>-3500</v>
      </c>
      <c r="AA3" s="8"/>
      <c r="AB3" s="1">
        <f t="shared" ref="AB3:AB7" si="8">Z3</f>
        <v>-3500</v>
      </c>
      <c r="AC3" s="11">
        <f>INDEX('04_06_OMRI -3500'!$B4:$B393,MATCH($A3,'04_06_OMRI -3500'!$A4:$A393,0))/1.98</f>
        <v>601.01010101010104</v>
      </c>
      <c r="AD3" s="8"/>
      <c r="AE3" s="49">
        <f t="shared" ref="AE3:AE7" si="9">AC3</f>
        <v>601.01010101010104</v>
      </c>
      <c r="AF3" s="10">
        <f>INDEX('04_06_OMRI -3500'!$C4:$C393,MATCH($A3,'04_06_OMRI -3500'!$A4:$A393,0))/1.98</f>
        <v>3506.060606060606</v>
      </c>
      <c r="AG3" s="8"/>
      <c r="AH3" s="49">
        <f t="shared" ref="AH3:AH7" si="10">AF3</f>
        <v>3506.060606060606</v>
      </c>
      <c r="AI3" s="9">
        <v>-2000</v>
      </c>
      <c r="AJ3" s="8"/>
      <c r="AK3" s="1">
        <f t="shared" ref="AK3:AK7" si="11">AI3</f>
        <v>-2000</v>
      </c>
      <c r="AL3" s="11">
        <f>INDEX('04_06_OMRI-2000'!$B4:$B393,MATCH($A3,'04_06_OMRI-2000'!$A4:$A393,0))/1.98</f>
        <v>601.01010101010104</v>
      </c>
      <c r="AM3" s="8"/>
      <c r="AN3" s="49">
        <f t="shared" ref="AN3:AN7" si="12">AL3</f>
        <v>601.01010101010104</v>
      </c>
      <c r="AO3" s="10">
        <f>INDEX('04_06_OMRI-2000'!$C4:$C393,MATCH($A3,'04_06_OMRI-2000'!$A4:$A393,0))/1.98</f>
        <v>3506.060606060606</v>
      </c>
      <c r="AP3" s="8"/>
      <c r="AQ3" s="69">
        <f t="shared" ref="AQ3:AQ7" si="13">AO3</f>
        <v>3506.060606060606</v>
      </c>
      <c r="AS3" s="12">
        <f t="shared" ref="AS3:AS24" si="14">N3/(K3+N3)</f>
        <v>0.85366453516969998</v>
      </c>
      <c r="AT3" s="12">
        <f t="shared" ref="AT3:AT24" si="15">W3/(T3+W3)</f>
        <v>0.85366453516969998</v>
      </c>
      <c r="AU3" s="12">
        <f>AF3/(AC3+AF3)</f>
        <v>0.85366453516969998</v>
      </c>
      <c r="AV3" s="12">
        <f>AO3/(AL3+AO3)</f>
        <v>0.85366453516969998</v>
      </c>
    </row>
    <row r="4" spans="1:48" ht="14.4" x14ac:dyDescent="0.3">
      <c r="A4" s="6">
        <f>A3+1</f>
        <v>46120</v>
      </c>
      <c r="B4" s="7">
        <f>INDEX('04_06_OMRI-2000'!$E$4:$E$393,MATCH($A4,'04_06_OMRI-2000'!$A$4:$A$393,0))</f>
        <v>12783</v>
      </c>
      <c r="C4" s="74">
        <f>DSM2_Historic_data!B4</f>
        <v>0</v>
      </c>
      <c r="D4" s="1">
        <f t="shared" si="0"/>
        <v>12783</v>
      </c>
      <c r="E4" s="7">
        <f>INDEX('04_06_OMRI-2000'!$D$4:$D$393,MATCH($A4,'04_06_OMRI-2000'!$A$4:$A$393,0))</f>
        <v>2604</v>
      </c>
      <c r="F4" s="74">
        <f>DSM2_Historic_data!C4</f>
        <v>0</v>
      </c>
      <c r="G4" s="1">
        <f t="shared" si="1"/>
        <v>2604</v>
      </c>
      <c r="H4" s="9">
        <f t="shared" si="2"/>
        <v>-6500</v>
      </c>
      <c r="I4" s="8"/>
      <c r="J4" s="1">
        <f t="shared" si="3"/>
        <v>-6500</v>
      </c>
      <c r="K4" s="10">
        <f>INDEX('04_06_OMRI -6500'!$B5:$B401,MATCH($A4,'04_06_OMRI -6500'!$A5:$A401,0))/1.98</f>
        <v>601.01010101010104</v>
      </c>
      <c r="L4" s="74">
        <f>DSM2_Historic_data!D4</f>
        <v>0</v>
      </c>
      <c r="M4" s="49">
        <f t="shared" si="4"/>
        <v>601.01010101010104</v>
      </c>
      <c r="N4" s="10">
        <f>INDEX('04_06_OMRI -6500'!$C5:$C401,MATCH($A4,'04_06_OMRI -6500'!$A5:$A401,0))/1.98</f>
        <v>4207.575757575758</v>
      </c>
      <c r="O4" s="74">
        <f>DSM2_Historic_data!E4</f>
        <v>0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INDEX('04_06_OMRI -5000'!$B5:$B394,MATCH($A4,'04_06_OMRI -5000'!$A5:$A394,0))/1.98</f>
        <v>601.01010101010104</v>
      </c>
      <c r="U4" s="8"/>
      <c r="V4" s="49">
        <f t="shared" ref="V4:V7" si="16">T4</f>
        <v>601.01010101010104</v>
      </c>
      <c r="W4" s="46">
        <f>INDEX('04_06_OMRI -5000'!$C5:$C394,MATCH($A4,'04_06_OMRI -5000'!$A5:$A394,0))/1.98</f>
        <v>3506.060606060606</v>
      </c>
      <c r="X4" s="8"/>
      <c r="Y4" s="49">
        <f t="shared" si="7"/>
        <v>3506.060606060606</v>
      </c>
      <c r="Z4" s="1">
        <v>-3500</v>
      </c>
      <c r="AA4" s="8"/>
      <c r="AB4" s="1">
        <f t="shared" si="8"/>
        <v>-3500</v>
      </c>
      <c r="AC4" s="11">
        <f>INDEX('04_06_OMRI -3500'!$B5:$B394,MATCH($A4,'04_06_OMRI -3500'!$A5:$A394,0))/1.98</f>
        <v>601.01010101010104</v>
      </c>
      <c r="AD4" s="8"/>
      <c r="AE4" s="49">
        <f t="shared" si="9"/>
        <v>601.01010101010104</v>
      </c>
      <c r="AF4" s="10">
        <f>INDEX('04_06_OMRI -3500'!$C5:$C394,MATCH($A4,'04_06_OMRI -3500'!$A5:$A394,0))/1.98</f>
        <v>2704.5454545454545</v>
      </c>
      <c r="AG4" s="8"/>
      <c r="AH4" s="49">
        <f t="shared" si="10"/>
        <v>2704.5454545454545</v>
      </c>
      <c r="AI4" s="9">
        <v>-2000</v>
      </c>
      <c r="AJ4" s="8"/>
      <c r="AK4" s="1">
        <f t="shared" si="11"/>
        <v>-2000</v>
      </c>
      <c r="AL4" s="11">
        <f>INDEX('04_06_OMRI-2000'!$B5:$B394,MATCH($A4,'04_06_OMRI-2000'!$A5:$A394,0))/1.98</f>
        <v>601.01010101010104</v>
      </c>
      <c r="AM4" s="8"/>
      <c r="AN4" s="49">
        <f t="shared" si="12"/>
        <v>601.01010101010104</v>
      </c>
      <c r="AO4" s="10">
        <f>INDEX('04_06_OMRI-2000'!$C5:$C394,MATCH($A4,'04_06_OMRI-2000'!$A5:$A394,0))/1.98</f>
        <v>1803.030303030303</v>
      </c>
      <c r="AP4" s="8"/>
      <c r="AQ4" s="69">
        <f t="shared" si="13"/>
        <v>1803.030303030303</v>
      </c>
      <c r="AS4" s="12">
        <f t="shared" si="14"/>
        <v>0.87501312887301763</v>
      </c>
      <c r="AT4" s="12">
        <f t="shared" si="15"/>
        <v>0.85366453516969998</v>
      </c>
      <c r="AU4" s="12">
        <f t="shared" ref="AU4:AU24" si="17">AF4/(AC4+AF4)</f>
        <v>0.81818181818181812</v>
      </c>
      <c r="AV4" s="12">
        <f t="shared" ref="AV4:AV24" si="18">AO4/(AL4+AO4)</f>
        <v>0.75</v>
      </c>
    </row>
    <row r="5" spans="1:48" ht="14.4" x14ac:dyDescent="0.3">
      <c r="A5" s="6">
        <f t="shared" ref="A5:A24" si="19">A4+1</f>
        <v>46121</v>
      </c>
      <c r="B5" s="7">
        <f>INDEX('04_06_OMRI-2000'!$E$4:$E$393,MATCH($A5,'04_06_OMRI-2000'!$A$4:$A$393,0))</f>
        <v>12865</v>
      </c>
      <c r="C5" s="74">
        <f>DSM2_Historic_data!B5</f>
        <v>0</v>
      </c>
      <c r="D5" s="1">
        <f t="shared" si="0"/>
        <v>12865</v>
      </c>
      <c r="E5" s="7">
        <f>INDEX('04_06_OMRI-2000'!$D$4:$D$393,MATCH($A5,'04_06_OMRI-2000'!$A$4:$A$393,0))</f>
        <v>2572</v>
      </c>
      <c r="F5" s="74">
        <f>DSM2_Historic_data!C5</f>
        <v>0</v>
      </c>
      <c r="G5" s="1">
        <f t="shared" si="1"/>
        <v>2572</v>
      </c>
      <c r="H5" s="9">
        <f t="shared" si="2"/>
        <v>-6500</v>
      </c>
      <c r="I5" s="8"/>
      <c r="J5" s="1">
        <f t="shared" si="3"/>
        <v>-6500</v>
      </c>
      <c r="K5" s="10">
        <f>INDEX('04_06_OMRI -6500'!$B6:$B402,MATCH($A5,'04_06_OMRI -6500'!$A6:$A402,0))/1.98</f>
        <v>601.01010101010104</v>
      </c>
      <c r="L5" s="74">
        <f>DSM2_Historic_data!D5</f>
        <v>0</v>
      </c>
      <c r="M5" s="49">
        <f t="shared" si="4"/>
        <v>601.01010101010104</v>
      </c>
      <c r="N5" s="10">
        <f>INDEX('04_06_OMRI -6500'!$C6:$C402,MATCH($A5,'04_06_OMRI -6500'!$A6:$A402,0))/1.98</f>
        <v>4207.575757575758</v>
      </c>
      <c r="O5" s="74">
        <f>DSM2_Historic_data!E5</f>
        <v>0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INDEX('04_06_OMRI -5000'!$B6:$B395,MATCH($A5,'04_06_OMRI -5000'!$A6:$A395,0))/1.98</f>
        <v>601.01010101010104</v>
      </c>
      <c r="U5" s="8"/>
      <c r="V5" s="49">
        <f t="shared" si="16"/>
        <v>601.01010101010104</v>
      </c>
      <c r="W5" s="46">
        <f>INDEX('04_06_OMRI -5000'!$C6:$C395,MATCH($A5,'04_06_OMRI -5000'!$A6:$A395,0))/1.98</f>
        <v>3506.060606060606</v>
      </c>
      <c r="X5" s="8"/>
      <c r="Y5" s="49">
        <f t="shared" si="7"/>
        <v>3506.060606060606</v>
      </c>
      <c r="Z5" s="1">
        <v>-3500</v>
      </c>
      <c r="AA5" s="8"/>
      <c r="AB5" s="1">
        <f t="shared" si="8"/>
        <v>-3500</v>
      </c>
      <c r="AC5" s="11">
        <f>INDEX('04_06_OMRI -3500'!$B6:$B395,MATCH($A5,'04_06_OMRI -3500'!$A6:$A395,0))/1.98</f>
        <v>601.01010101010104</v>
      </c>
      <c r="AD5" s="8"/>
      <c r="AE5" s="49">
        <f t="shared" si="9"/>
        <v>601.01010101010104</v>
      </c>
      <c r="AF5" s="10">
        <f>INDEX('04_06_OMRI -3500'!$C6:$C395,MATCH($A5,'04_06_OMRI -3500'!$A6:$A395,0))/1.98</f>
        <v>2704.5454545454545</v>
      </c>
      <c r="AG5" s="8"/>
      <c r="AH5" s="49">
        <f t="shared" si="10"/>
        <v>2704.5454545454545</v>
      </c>
      <c r="AI5" s="9">
        <v>-2000</v>
      </c>
      <c r="AJ5" s="8"/>
      <c r="AK5" s="1">
        <f t="shared" si="11"/>
        <v>-2000</v>
      </c>
      <c r="AL5" s="11">
        <f>INDEX('04_06_OMRI-2000'!$B6:$B395,MATCH($A5,'04_06_OMRI-2000'!$A6:$A395,0))/1.98</f>
        <v>601.01010101010104</v>
      </c>
      <c r="AM5" s="8"/>
      <c r="AN5" s="49">
        <f t="shared" si="12"/>
        <v>601.01010101010104</v>
      </c>
      <c r="AO5" s="10">
        <f>INDEX('04_06_OMRI-2000'!$C6:$C395,MATCH($A5,'04_06_OMRI-2000'!$A6:$A395,0))/1.98</f>
        <v>1803.030303030303</v>
      </c>
      <c r="AP5" s="8"/>
      <c r="AQ5" s="69">
        <f t="shared" si="13"/>
        <v>1803.030303030303</v>
      </c>
      <c r="AS5" s="12">
        <f t="shared" si="14"/>
        <v>0.87501312887301763</v>
      </c>
      <c r="AT5" s="12">
        <f t="shared" si="15"/>
        <v>0.85366453516969998</v>
      </c>
      <c r="AU5" s="12">
        <f t="shared" si="17"/>
        <v>0.81818181818181812</v>
      </c>
      <c r="AV5" s="12">
        <f t="shared" si="18"/>
        <v>0.75</v>
      </c>
    </row>
    <row r="6" spans="1:48" ht="14.4" x14ac:dyDescent="0.3">
      <c r="A6" s="6">
        <f t="shared" si="19"/>
        <v>46122</v>
      </c>
      <c r="B6" s="7">
        <f>INDEX('04_06_OMRI-2000'!$E$4:$E$393,MATCH($A6,'04_06_OMRI-2000'!$A$4:$A$393,0))</f>
        <v>13590</v>
      </c>
      <c r="C6" s="74">
        <f>DSM2_Historic_data!B6</f>
        <v>0</v>
      </c>
      <c r="D6" s="1">
        <f t="shared" si="0"/>
        <v>13590</v>
      </c>
      <c r="E6" s="7">
        <f>INDEX('04_06_OMRI-2000'!$D$4:$D$393,MATCH($A6,'04_06_OMRI-2000'!$A$4:$A$393,0))</f>
        <v>2547</v>
      </c>
      <c r="F6" s="74">
        <f>DSM2_Historic_data!C6</f>
        <v>0</v>
      </c>
      <c r="G6" s="1">
        <f t="shared" si="1"/>
        <v>2547</v>
      </c>
      <c r="H6" s="9">
        <f t="shared" si="2"/>
        <v>-6500</v>
      </c>
      <c r="I6" s="8"/>
      <c r="J6" s="1">
        <f t="shared" si="3"/>
        <v>-6500</v>
      </c>
      <c r="K6" s="10">
        <f>INDEX('04_06_OMRI -6500'!$B7:$B403,MATCH($A6,'04_06_OMRI -6500'!$A7:$A403,0))/1.98</f>
        <v>601.01010101010104</v>
      </c>
      <c r="L6" s="74">
        <f>DSM2_Historic_data!D6</f>
        <v>0</v>
      </c>
      <c r="M6" s="49">
        <f t="shared" si="4"/>
        <v>601.01010101010104</v>
      </c>
      <c r="N6" s="10">
        <f>INDEX('04_06_OMRI -6500'!$C7:$C403,MATCH($A6,'04_06_OMRI -6500'!$A7:$A403,0))/1.98</f>
        <v>4207.575757575758</v>
      </c>
      <c r="O6" s="74">
        <f>DSM2_Historic_data!E6</f>
        <v>0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INDEX('04_06_OMRI -5000'!$B7:$B396,MATCH($A6,'04_06_OMRI -5000'!$A7:$A396,0))/1.98</f>
        <v>601.01010101010104</v>
      </c>
      <c r="U6" s="8"/>
      <c r="V6" s="49">
        <f t="shared" si="16"/>
        <v>601.01010101010104</v>
      </c>
      <c r="W6" s="46">
        <f>INDEX('04_06_OMRI -5000'!$C7:$C396,MATCH($A6,'04_06_OMRI -5000'!$A7:$A396,0))/1.98</f>
        <v>3506.060606060606</v>
      </c>
      <c r="X6" s="8"/>
      <c r="Y6" s="49">
        <f t="shared" si="7"/>
        <v>3506.060606060606</v>
      </c>
      <c r="Z6" s="1">
        <v>-3500</v>
      </c>
      <c r="AA6" s="8"/>
      <c r="AB6" s="1">
        <f t="shared" si="8"/>
        <v>-3500</v>
      </c>
      <c r="AC6" s="11">
        <f>INDEX('04_06_OMRI -3500'!$B7:$B396,MATCH($A6,'04_06_OMRI -3500'!$A7:$A396,0))/1.98</f>
        <v>601.01010101010104</v>
      </c>
      <c r="AD6" s="8"/>
      <c r="AE6" s="49">
        <f t="shared" si="9"/>
        <v>601.01010101010104</v>
      </c>
      <c r="AF6" s="10">
        <f>INDEX('04_06_OMRI -3500'!$C7:$C396,MATCH($A6,'04_06_OMRI -3500'!$A7:$A396,0))/1.98</f>
        <v>2704.5454545454545</v>
      </c>
      <c r="AG6" s="8"/>
      <c r="AH6" s="49">
        <f t="shared" si="10"/>
        <v>2704.5454545454545</v>
      </c>
      <c r="AI6" s="9">
        <v>-2000</v>
      </c>
      <c r="AJ6" s="8"/>
      <c r="AK6" s="1">
        <f t="shared" si="11"/>
        <v>-2000</v>
      </c>
      <c r="AL6" s="11">
        <f>INDEX('04_06_OMRI-2000'!$B7:$B396,MATCH($A6,'04_06_OMRI-2000'!$A7:$A396,0))/1.98</f>
        <v>601.01010101010104</v>
      </c>
      <c r="AM6" s="8"/>
      <c r="AN6" s="49">
        <f t="shared" si="12"/>
        <v>601.01010101010104</v>
      </c>
      <c r="AO6" s="10">
        <f>INDEX('04_06_OMRI-2000'!$C7:$C396,MATCH($A6,'04_06_OMRI-2000'!$A7:$A396,0))/1.98</f>
        <v>1803.030303030303</v>
      </c>
      <c r="AP6" s="8"/>
      <c r="AQ6" s="69">
        <f t="shared" si="13"/>
        <v>1803.030303030303</v>
      </c>
      <c r="AS6" s="12">
        <f t="shared" si="14"/>
        <v>0.87501312887301763</v>
      </c>
      <c r="AT6" s="12">
        <f t="shared" si="15"/>
        <v>0.85366453516969998</v>
      </c>
      <c r="AU6" s="12">
        <f t="shared" si="17"/>
        <v>0.81818181818181812</v>
      </c>
      <c r="AV6" s="12">
        <f t="shared" si="18"/>
        <v>0.75</v>
      </c>
    </row>
    <row r="7" spans="1:48" ht="14.4" x14ac:dyDescent="0.3">
      <c r="A7" s="6">
        <f t="shared" si="19"/>
        <v>46123</v>
      </c>
      <c r="B7" s="7">
        <f>INDEX('04_06_OMRI-2000'!$E$4:$E$393,MATCH($A7,'04_06_OMRI-2000'!$A$4:$A$393,0))</f>
        <v>15314</v>
      </c>
      <c r="C7" s="74">
        <f>DSM2_Historic_data!B7</f>
        <v>0</v>
      </c>
      <c r="D7" s="1">
        <f t="shared" si="0"/>
        <v>15314</v>
      </c>
      <c r="E7" s="7">
        <f>INDEX('04_06_OMRI-2000'!$D$4:$D$393,MATCH($A7,'04_06_OMRI-2000'!$A$4:$A$393,0))</f>
        <v>2500</v>
      </c>
      <c r="F7" s="74">
        <f>DSM2_Historic_data!C7</f>
        <v>0</v>
      </c>
      <c r="G7" s="1">
        <f t="shared" si="1"/>
        <v>2500</v>
      </c>
      <c r="H7" s="9">
        <f t="shared" si="2"/>
        <v>-6500</v>
      </c>
      <c r="I7" s="8"/>
      <c r="J7" s="1">
        <f t="shared" si="3"/>
        <v>-6500</v>
      </c>
      <c r="K7" s="10">
        <f>INDEX('04_06_OMRI -6500'!$B8:$B404,MATCH($A7,'04_06_OMRI -6500'!$A8:$A404,0))/1.98</f>
        <v>601.01010101010104</v>
      </c>
      <c r="L7" s="74">
        <f>DSM2_Historic_data!D7</f>
        <v>0</v>
      </c>
      <c r="M7" s="49">
        <f t="shared" si="4"/>
        <v>601.01010101010104</v>
      </c>
      <c r="N7" s="10">
        <f>INDEX('04_06_OMRI -6500'!$C8:$C404,MATCH($A7,'04_06_OMRI -6500'!$A8:$A404,0))/1.98</f>
        <v>4207.575757575758</v>
      </c>
      <c r="O7" s="74">
        <f>DSM2_Historic_data!E7</f>
        <v>0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INDEX('04_06_OMRI -5000'!$B8:$B397,MATCH($A7,'04_06_OMRI -5000'!$A8:$A397,0))/1.98</f>
        <v>601.01010101010104</v>
      </c>
      <c r="U7" s="8"/>
      <c r="V7" s="49">
        <f t="shared" si="16"/>
        <v>601.01010101010104</v>
      </c>
      <c r="W7" s="46">
        <f>INDEX('04_06_OMRI -5000'!$C8:$C397,MATCH($A7,'04_06_OMRI -5000'!$A8:$A397,0))/1.98</f>
        <v>3506.060606060606</v>
      </c>
      <c r="X7" s="8"/>
      <c r="Y7" s="49">
        <f t="shared" si="7"/>
        <v>3506.060606060606</v>
      </c>
      <c r="Z7" s="1">
        <v>-3500</v>
      </c>
      <c r="AA7" s="8"/>
      <c r="AB7" s="1">
        <f t="shared" si="8"/>
        <v>-3500</v>
      </c>
      <c r="AC7" s="11">
        <f>INDEX('04_06_OMRI -3500'!$B8:$B397,MATCH($A7,'04_06_OMRI -3500'!$A8:$A397,0))/1.98</f>
        <v>601.01010101010104</v>
      </c>
      <c r="AD7" s="8"/>
      <c r="AE7" s="49">
        <f t="shared" si="9"/>
        <v>601.01010101010104</v>
      </c>
      <c r="AF7" s="10">
        <f>INDEX('04_06_OMRI -3500'!$C8:$C397,MATCH($A7,'04_06_OMRI -3500'!$A8:$A397,0))/1.98</f>
        <v>2704.5454545454545</v>
      </c>
      <c r="AG7" s="8"/>
      <c r="AH7" s="49">
        <f t="shared" si="10"/>
        <v>2704.5454545454545</v>
      </c>
      <c r="AI7" s="9">
        <v>-2000</v>
      </c>
      <c r="AJ7" s="8"/>
      <c r="AK7" s="1">
        <f t="shared" si="11"/>
        <v>-2000</v>
      </c>
      <c r="AL7" s="11">
        <f>INDEX('04_06_OMRI-2000'!$B8:$B397,MATCH($A7,'04_06_OMRI-2000'!$A8:$A397,0))/1.98</f>
        <v>601.01010101010104</v>
      </c>
      <c r="AM7" s="8"/>
      <c r="AN7" s="49">
        <f t="shared" si="12"/>
        <v>601.01010101010104</v>
      </c>
      <c r="AO7" s="10">
        <f>INDEX('04_06_OMRI-2000'!$C8:$C397,MATCH($A7,'04_06_OMRI-2000'!$A8:$A397,0))/1.98</f>
        <v>1803.030303030303</v>
      </c>
      <c r="AP7" s="8"/>
      <c r="AQ7" s="69">
        <f t="shared" si="13"/>
        <v>1803.030303030303</v>
      </c>
      <c r="AS7" s="12">
        <f t="shared" si="14"/>
        <v>0.87501312887301763</v>
      </c>
      <c r="AT7" s="12">
        <f t="shared" si="15"/>
        <v>0.85366453516969998</v>
      </c>
      <c r="AU7" s="12">
        <f t="shared" si="17"/>
        <v>0.81818181818181812</v>
      </c>
      <c r="AV7" s="12">
        <f t="shared" si="18"/>
        <v>0.75</v>
      </c>
    </row>
    <row r="8" spans="1:48" ht="14.4" x14ac:dyDescent="0.3">
      <c r="A8" s="6">
        <f t="shared" si="19"/>
        <v>46124</v>
      </c>
      <c r="B8" s="7">
        <f>INDEX('04_06_OMRI-2000'!$E$4:$E$393,MATCH($A8,'04_06_OMRI-2000'!$A$4:$A$393,0))</f>
        <v>16511</v>
      </c>
      <c r="C8" s="74">
        <f>DSM2_Historic_data!B8</f>
        <v>0</v>
      </c>
      <c r="D8" s="1">
        <f>B8</f>
        <v>16511</v>
      </c>
      <c r="E8" s="7">
        <f>INDEX('04_06_OMRI-2000'!$D$4:$D$393,MATCH($A8,'04_06_OMRI-2000'!$A$4:$A$393,0))</f>
        <v>2450</v>
      </c>
      <c r="F8" s="74">
        <f>DSM2_Historic_data!C8</f>
        <v>0</v>
      </c>
      <c r="G8" s="1">
        <f>E8</f>
        <v>2450</v>
      </c>
      <c r="H8" s="9">
        <f t="shared" si="2"/>
        <v>-6500</v>
      </c>
      <c r="I8" s="8"/>
      <c r="J8" s="1">
        <f>H8</f>
        <v>-6500</v>
      </c>
      <c r="K8" s="10">
        <f>INDEX('04_06_OMRI -6500'!$B9:$B405,MATCH($A8,'04_06_OMRI -6500'!$A9:$A405,0))/1.98</f>
        <v>601.01010101010104</v>
      </c>
      <c r="L8" s="74">
        <f>DSM2_Historic_data!D8</f>
        <v>0</v>
      </c>
      <c r="M8" s="49">
        <f>K8</f>
        <v>601.01010101010104</v>
      </c>
      <c r="N8" s="10">
        <f>INDEX('04_06_OMRI -6500'!$C9:$C405,MATCH($A8,'04_06_OMRI -6500'!$A9:$A405,0))/1.98</f>
        <v>4207.575757575758</v>
      </c>
      <c r="O8" s="74">
        <f>DSM2_Historic_data!E8</f>
        <v>0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INDEX('04_06_OMRI -5000'!$B9:$B398,MATCH($A8,'04_06_OMRI -5000'!$A9:$A398,0))/1.98</f>
        <v>601.01010101010104</v>
      </c>
      <c r="U8" s="8"/>
      <c r="V8" s="49">
        <f>T8</f>
        <v>601.01010101010104</v>
      </c>
      <c r="W8" s="46">
        <f>INDEX('04_06_OMRI -5000'!$C9:$C398,MATCH($A8,'04_06_OMRI -5000'!$A9:$A398,0))/1.98</f>
        <v>3506.060606060606</v>
      </c>
      <c r="X8" s="8"/>
      <c r="Y8" s="49">
        <f>W8</f>
        <v>3506.060606060606</v>
      </c>
      <c r="Z8" s="1">
        <v>-3500</v>
      </c>
      <c r="AA8" s="8"/>
      <c r="AB8" s="1">
        <f>Z8</f>
        <v>-3500</v>
      </c>
      <c r="AC8" s="11">
        <f>INDEX('04_06_OMRI -3500'!$B9:$B398,MATCH($A8,'04_06_OMRI -3500'!$A9:$A398,0))/1.98</f>
        <v>601.01010101010104</v>
      </c>
      <c r="AD8" s="8"/>
      <c r="AE8" s="49">
        <f>AC8</f>
        <v>601.01010101010104</v>
      </c>
      <c r="AF8" s="10">
        <f>INDEX('04_06_OMRI -3500'!$C9:$C398,MATCH($A8,'04_06_OMRI -3500'!$A9:$A398,0))/1.98</f>
        <v>2704.5454545454545</v>
      </c>
      <c r="AG8" s="8"/>
      <c r="AH8" s="49">
        <f>AF8</f>
        <v>2704.5454545454545</v>
      </c>
      <c r="AI8" s="9">
        <v>-2000</v>
      </c>
      <c r="AJ8" s="8"/>
      <c r="AK8" s="1">
        <f>AI8</f>
        <v>-2000</v>
      </c>
      <c r="AL8" s="11">
        <f>INDEX('04_06_OMRI-2000'!$B9:$B398,MATCH($A8,'04_06_OMRI-2000'!$A9:$A398,0))/1.98</f>
        <v>601.01010101010104</v>
      </c>
      <c r="AM8" s="8"/>
      <c r="AN8" s="49">
        <f>AL8</f>
        <v>601.01010101010104</v>
      </c>
      <c r="AO8" s="10">
        <f>INDEX('04_06_OMRI-2000'!$C9:$C398,MATCH($A8,'04_06_OMRI-2000'!$A9:$A398,0))/1.98</f>
        <v>1803.030303030303</v>
      </c>
      <c r="AP8" s="8"/>
      <c r="AQ8" s="69">
        <f>AO8</f>
        <v>1803.030303030303</v>
      </c>
      <c r="AS8" s="12">
        <f t="shared" si="14"/>
        <v>0.87501312887301763</v>
      </c>
      <c r="AT8" s="12">
        <f t="shared" si="15"/>
        <v>0.85366453516969998</v>
      </c>
      <c r="AU8" s="12">
        <f t="shared" si="17"/>
        <v>0.81818181818181812</v>
      </c>
      <c r="AV8" s="12">
        <f t="shared" si="18"/>
        <v>0.75</v>
      </c>
    </row>
    <row r="9" spans="1:48" ht="14.4" x14ac:dyDescent="0.3">
      <c r="A9" s="6">
        <f t="shared" si="19"/>
        <v>46125</v>
      </c>
      <c r="B9" s="13">
        <f>INDEX('04_06_OMRI-2000'!$E$4:$E$393,MATCH($A9,'04_06_OMRI-2000'!$A$4:$A$393,0))</f>
        <v>16887</v>
      </c>
      <c r="C9" s="14"/>
      <c r="D9" s="1">
        <f t="shared" ref="D9:D24" si="20">B9</f>
        <v>16887</v>
      </c>
      <c r="E9" s="13">
        <f>INDEX('04_06_OMRI-2000'!$D$4:$D$393,MATCH($A9,'04_06_OMRI-2000'!$A$4:$A$393,0))</f>
        <v>2400</v>
      </c>
      <c r="F9" s="14"/>
      <c r="G9" s="1">
        <f>E9</f>
        <v>2400</v>
      </c>
      <c r="H9" s="15">
        <f t="shared" si="2"/>
        <v>-6500</v>
      </c>
      <c r="I9" s="14"/>
      <c r="J9" s="1">
        <f>H9</f>
        <v>-6500</v>
      </c>
      <c r="K9" s="16">
        <f>INDEX('04_06_OMRI -6500'!$B10:$B406,MATCH($A9,'04_06_OMRI -6500'!$A10:$A406,0))/1.98</f>
        <v>601.01010101010104</v>
      </c>
      <c r="L9" s="14"/>
      <c r="M9" s="49">
        <f>K9</f>
        <v>601.01010101010104</v>
      </c>
      <c r="N9" s="16">
        <f>INDEX('04_06_OMRI -6500'!$C10:$C406,MATCH($A9,'04_06_OMRI -6500'!$A10:$A406,0))/1.98</f>
        <v>901.5151515151515</v>
      </c>
      <c r="O9" s="14"/>
      <c r="P9" s="69">
        <f>N9</f>
        <v>901.5151515151515</v>
      </c>
      <c r="Q9" s="1">
        <v>-5000</v>
      </c>
      <c r="R9" s="14"/>
      <c r="S9" s="1">
        <f t="shared" ref="S9:S24" si="21">Q9</f>
        <v>-5000</v>
      </c>
      <c r="T9" s="71">
        <f>INDEX('04_06_OMRI -5000'!$B10:$B399,MATCH($A9,'04_06_OMRI -5000'!$A10:$A399,0))/1.98</f>
        <v>601.01010101010104</v>
      </c>
      <c r="U9" s="14"/>
      <c r="V9" s="49">
        <f t="shared" ref="V9:V24" si="22">T9</f>
        <v>601.01010101010104</v>
      </c>
      <c r="W9" s="71">
        <f>INDEX('04_06_OMRI -5000'!$C10:$C399,MATCH($A9,'04_06_OMRI -5000'!$A10:$A399,0))/1.98</f>
        <v>901.5151515151515</v>
      </c>
      <c r="X9" s="14"/>
      <c r="Y9" s="69">
        <f>W9</f>
        <v>901.5151515151515</v>
      </c>
      <c r="Z9" s="1">
        <v>-3500</v>
      </c>
      <c r="AA9" s="14"/>
      <c r="AB9" s="5">
        <f>Z9</f>
        <v>-3500</v>
      </c>
      <c r="AC9" s="17">
        <f>INDEX('04_06_OMRI -3500'!$B10:$B399,MATCH($A9,'04_06_OMRI -3500'!$A10:$A399,0))/1.98</f>
        <v>601.01010101010104</v>
      </c>
      <c r="AD9" s="14"/>
      <c r="AE9" s="49">
        <f>AC9</f>
        <v>601.01010101010104</v>
      </c>
      <c r="AF9" s="16">
        <f>INDEX('04_06_OMRI -3500'!$C10:$C399,MATCH($A9,'04_06_OMRI -3500'!$A10:$A399,0))/1.98</f>
        <v>901.5151515151515</v>
      </c>
      <c r="AG9" s="14"/>
      <c r="AH9" s="69">
        <f>AF9</f>
        <v>901.5151515151515</v>
      </c>
      <c r="AI9" s="9">
        <v>-2000</v>
      </c>
      <c r="AJ9" s="14"/>
      <c r="AK9" s="1">
        <f>AI9</f>
        <v>-2000</v>
      </c>
      <c r="AL9" s="17">
        <f>INDEX('04_06_OMRI-2000'!$B10:$B399,MATCH($A9,'04_06_OMRI-2000'!$A10:$A399,0))/1.98</f>
        <v>601.01010101010104</v>
      </c>
      <c r="AM9" s="14"/>
      <c r="AN9" s="49">
        <f>AL9</f>
        <v>601.01010101010104</v>
      </c>
      <c r="AO9" s="16">
        <f>INDEX('04_06_OMRI-2000'!$C10:$C399,MATCH($A9,'04_06_OMRI-2000'!$A10:$A399,0))/1.98</f>
        <v>901.5151515151515</v>
      </c>
      <c r="AP9" s="14"/>
      <c r="AQ9" s="69">
        <f>AO9</f>
        <v>901.5151515151515</v>
      </c>
      <c r="AS9" s="12">
        <f t="shared" si="14"/>
        <v>0.6</v>
      </c>
      <c r="AT9" s="12">
        <f t="shared" si="15"/>
        <v>0.6</v>
      </c>
      <c r="AU9" s="12">
        <f t="shared" si="17"/>
        <v>0.6</v>
      </c>
      <c r="AV9" s="12">
        <f t="shared" si="18"/>
        <v>0.6</v>
      </c>
    </row>
    <row r="10" spans="1:48" ht="14.4" x14ac:dyDescent="0.3">
      <c r="A10" s="6">
        <f t="shared" si="19"/>
        <v>46126</v>
      </c>
      <c r="B10" s="13">
        <f>INDEX('04_06_OMRI-2000'!$E$4:$E$393,MATCH($A10,'04_06_OMRI-2000'!$A$4:$A$393,0))</f>
        <v>16858</v>
      </c>
      <c r="C10" s="14"/>
      <c r="D10" s="1">
        <f t="shared" si="20"/>
        <v>16858</v>
      </c>
      <c r="E10" s="13">
        <f>INDEX('04_06_OMRI-2000'!$D$4:$D$393,MATCH($A10,'04_06_OMRI-2000'!$A$4:$A$393,0))</f>
        <v>2350</v>
      </c>
      <c r="F10" s="14"/>
      <c r="G10" s="1">
        <f t="shared" ref="G10:G24" si="23">E10</f>
        <v>2350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INDEX('04_06_OMRI -6500'!$B11:$B407,MATCH($A10,'04_06_OMRI -6500'!$A11:$A407,0))/1.98</f>
        <v>601.01010101010104</v>
      </c>
      <c r="L10" s="14"/>
      <c r="M10" s="49">
        <f t="shared" ref="M10:M24" si="25">K10</f>
        <v>601.01010101010104</v>
      </c>
      <c r="N10" s="16">
        <f>INDEX('04_06_OMRI -6500'!$C11:$C407,MATCH($A10,'04_06_OMRI -6500'!$A11:$A407,0))/1.98</f>
        <v>901.5151515151515</v>
      </c>
      <c r="O10" s="14"/>
      <c r="P10" s="69">
        <f t="shared" ref="P10:P24" si="26">N10</f>
        <v>901.5151515151515</v>
      </c>
      <c r="Q10" s="1">
        <v>-5000</v>
      </c>
      <c r="R10" s="14"/>
      <c r="S10" s="1">
        <f t="shared" si="21"/>
        <v>-5000</v>
      </c>
      <c r="T10" s="71">
        <f>INDEX('04_06_OMRI -5000'!$B11:$B400,MATCH($A10,'04_06_OMRI -5000'!$A11:$A400,0))/1.98</f>
        <v>601.01010101010104</v>
      </c>
      <c r="U10" s="14"/>
      <c r="V10" s="49">
        <f t="shared" si="22"/>
        <v>601.01010101010104</v>
      </c>
      <c r="W10" s="71">
        <f>INDEX('04_06_OMRI -5000'!$C11:$C400,MATCH($A10,'04_06_OMRI -5000'!$A11:$A400,0))/1.98</f>
        <v>901.5151515151515</v>
      </c>
      <c r="X10" s="14"/>
      <c r="Y10" s="69">
        <f t="shared" ref="Y10:Y24" si="27">W10</f>
        <v>901.5151515151515</v>
      </c>
      <c r="Z10" s="1">
        <v>-3500</v>
      </c>
      <c r="AA10" s="14"/>
      <c r="AB10" s="5">
        <f t="shared" ref="AB10:AB24" si="28">Z10</f>
        <v>-3500</v>
      </c>
      <c r="AC10" s="17">
        <f>INDEX('04_06_OMRI -3500'!$B11:$B400,MATCH($A10,'04_06_OMRI -3500'!$A11:$A400,0))/1.98</f>
        <v>601.01010101010104</v>
      </c>
      <c r="AD10" s="14"/>
      <c r="AE10" s="49">
        <f t="shared" ref="AE10:AE24" si="29">AC10</f>
        <v>601.01010101010104</v>
      </c>
      <c r="AF10" s="16">
        <f>INDEX('04_06_OMRI -3500'!$C11:$C400,MATCH($A10,'04_06_OMRI -3500'!$A11:$A400,0))/1.98</f>
        <v>901.5151515151515</v>
      </c>
      <c r="AG10" s="14"/>
      <c r="AH10" s="69">
        <f t="shared" ref="AH10:AH24" si="30">AF10</f>
        <v>901.5151515151515</v>
      </c>
      <c r="AI10" s="9">
        <v>-2000</v>
      </c>
      <c r="AJ10" s="14"/>
      <c r="AK10" s="1">
        <f t="shared" ref="AK10:AK24" si="31">AI10</f>
        <v>-2000</v>
      </c>
      <c r="AL10" s="17">
        <f>INDEX('04_06_OMRI-2000'!$B11:$B400,MATCH($A10,'04_06_OMRI-2000'!$A11:$A400,0))/1.98</f>
        <v>601.01010101010104</v>
      </c>
      <c r="AM10" s="14"/>
      <c r="AN10" s="49">
        <f t="shared" ref="AN10:AN24" si="32">AL10</f>
        <v>601.01010101010104</v>
      </c>
      <c r="AO10" s="16">
        <f>INDEX('04_06_OMRI-2000'!$C11:$C400,MATCH($A10,'04_06_OMRI-2000'!$A11:$A400,0))/1.98</f>
        <v>901.5151515151515</v>
      </c>
      <c r="AP10" s="14"/>
      <c r="AQ10" s="69">
        <f t="shared" ref="AQ10:AQ24" si="33">AO10</f>
        <v>901.5151515151515</v>
      </c>
      <c r="AS10" s="12">
        <f t="shared" si="14"/>
        <v>0.6</v>
      </c>
      <c r="AT10" s="12">
        <f t="shared" si="15"/>
        <v>0.6</v>
      </c>
      <c r="AU10" s="12">
        <f t="shared" si="17"/>
        <v>0.6</v>
      </c>
      <c r="AV10" s="12">
        <f t="shared" si="18"/>
        <v>0.6</v>
      </c>
    </row>
    <row r="11" spans="1:48" ht="14.4" x14ac:dyDescent="0.3">
      <c r="A11" s="6">
        <f t="shared" si="19"/>
        <v>46127</v>
      </c>
      <c r="B11" s="13">
        <f>INDEX('04_06_OMRI-2000'!$E$4:$E$393,MATCH($A11,'04_06_OMRI-2000'!$A$4:$A$393,0))</f>
        <v>16705</v>
      </c>
      <c r="C11" s="14"/>
      <c r="D11" s="1">
        <f t="shared" si="20"/>
        <v>16705</v>
      </c>
      <c r="E11" s="13">
        <f>INDEX('04_06_OMRI-2000'!$D$4:$D$393,MATCH($A11,'04_06_OMRI-2000'!$A$4:$A$393,0))</f>
        <v>2300</v>
      </c>
      <c r="F11" s="14"/>
      <c r="G11" s="1">
        <f t="shared" si="23"/>
        <v>2300</v>
      </c>
      <c r="H11" s="15">
        <f t="shared" si="2"/>
        <v>-6500</v>
      </c>
      <c r="I11" s="14"/>
      <c r="J11" s="1">
        <f t="shared" si="24"/>
        <v>-6500</v>
      </c>
      <c r="K11" s="16">
        <f>INDEX('04_06_OMRI -6500'!$B12:$B408,MATCH($A11,'04_06_OMRI -6500'!$A12:$A408,0))/1.98</f>
        <v>601.01010101010104</v>
      </c>
      <c r="L11" s="14"/>
      <c r="M11" s="49">
        <f t="shared" si="25"/>
        <v>601.01010101010104</v>
      </c>
      <c r="N11" s="16">
        <f>INDEX('04_06_OMRI -6500'!$C12:$C408,MATCH($A11,'04_06_OMRI -6500'!$A12:$A408,0))/1.98</f>
        <v>901.5151515151515</v>
      </c>
      <c r="O11" s="14"/>
      <c r="P11" s="69">
        <f t="shared" si="26"/>
        <v>901.5151515151515</v>
      </c>
      <c r="Q11" s="1">
        <v>-5000</v>
      </c>
      <c r="R11" s="14"/>
      <c r="S11" s="1">
        <f t="shared" si="21"/>
        <v>-5000</v>
      </c>
      <c r="T11" s="71">
        <f>INDEX('04_06_OMRI -5000'!$B12:$B401,MATCH($A11,'04_06_OMRI -5000'!$A12:$A401,0))/1.98</f>
        <v>601.01010101010104</v>
      </c>
      <c r="U11" s="14"/>
      <c r="V11" s="49">
        <f t="shared" si="22"/>
        <v>601.01010101010104</v>
      </c>
      <c r="W11" s="71">
        <f>INDEX('04_06_OMRI -5000'!$C12:$C401,MATCH($A11,'04_06_OMRI -5000'!$A12:$A401,0))/1.98</f>
        <v>901.5151515151515</v>
      </c>
      <c r="X11" s="14"/>
      <c r="Y11" s="69">
        <f t="shared" si="27"/>
        <v>901.5151515151515</v>
      </c>
      <c r="Z11" s="1">
        <v>-3500</v>
      </c>
      <c r="AA11" s="14"/>
      <c r="AB11" s="5">
        <f t="shared" si="28"/>
        <v>-3500</v>
      </c>
      <c r="AC11" s="17">
        <f>INDEX('04_06_OMRI -3500'!$B12:$B401,MATCH($A11,'04_06_OMRI -3500'!$A12:$A401,0))/1.98</f>
        <v>601.01010101010104</v>
      </c>
      <c r="AD11" s="14"/>
      <c r="AE11" s="49">
        <f t="shared" si="29"/>
        <v>601.01010101010104</v>
      </c>
      <c r="AF11" s="16">
        <f>INDEX('04_06_OMRI -3500'!$C12:$C401,MATCH($A11,'04_06_OMRI -3500'!$A12:$A401,0))/1.98</f>
        <v>901.5151515151515</v>
      </c>
      <c r="AG11" s="14"/>
      <c r="AH11" s="69">
        <f t="shared" si="30"/>
        <v>901.5151515151515</v>
      </c>
      <c r="AI11" s="9">
        <v>-2000</v>
      </c>
      <c r="AJ11" s="14"/>
      <c r="AK11" s="1">
        <f t="shared" si="31"/>
        <v>-2000</v>
      </c>
      <c r="AL11" s="17">
        <f>INDEX('04_06_OMRI-2000'!$B12:$B401,MATCH($A11,'04_06_OMRI-2000'!$A12:$A401,0))/1.98</f>
        <v>601.01010101010104</v>
      </c>
      <c r="AM11" s="14"/>
      <c r="AN11" s="49">
        <f t="shared" si="32"/>
        <v>601.01010101010104</v>
      </c>
      <c r="AO11" s="16">
        <f>INDEX('04_06_OMRI-2000'!$C12:$C401,MATCH($A11,'04_06_OMRI-2000'!$A12:$A401,0))/1.98</f>
        <v>901.5151515151515</v>
      </c>
      <c r="AP11" s="14"/>
      <c r="AQ11" s="69">
        <f t="shared" si="33"/>
        <v>901.5151515151515</v>
      </c>
      <c r="AS11" s="12">
        <f t="shared" si="14"/>
        <v>0.6</v>
      </c>
      <c r="AT11" s="12">
        <f t="shared" si="15"/>
        <v>0.6</v>
      </c>
      <c r="AU11" s="12">
        <f t="shared" si="17"/>
        <v>0.6</v>
      </c>
      <c r="AV11" s="12">
        <f t="shared" si="18"/>
        <v>0.6</v>
      </c>
    </row>
    <row r="12" spans="1:48" ht="14.4" x14ac:dyDescent="0.3">
      <c r="A12" s="6">
        <f t="shared" si="19"/>
        <v>46128</v>
      </c>
      <c r="B12" s="13">
        <f>INDEX('04_06_OMRI-2000'!$E$4:$E$393,MATCH($A12,'04_06_OMRI-2000'!$A$4:$A$393,0))</f>
        <v>16000</v>
      </c>
      <c r="C12" s="14"/>
      <c r="D12" s="1">
        <f t="shared" si="20"/>
        <v>16000</v>
      </c>
      <c r="E12" s="13">
        <f>INDEX('04_06_OMRI-2000'!$D$4:$D$393,MATCH($A12,'04_06_OMRI-2000'!$A$4:$A$393,0))</f>
        <v>2250</v>
      </c>
      <c r="F12" s="14"/>
      <c r="G12" s="1">
        <f t="shared" si="23"/>
        <v>2250</v>
      </c>
      <c r="H12" s="15">
        <f t="shared" si="2"/>
        <v>-6500</v>
      </c>
      <c r="I12" s="14"/>
      <c r="J12" s="1">
        <f t="shared" si="24"/>
        <v>-6500</v>
      </c>
      <c r="K12" s="16">
        <f>INDEX('04_06_OMRI -6500'!$B13:$B409,MATCH($A12,'04_06_OMRI -6500'!$A13:$A409,0))/1.98</f>
        <v>601.01010101010104</v>
      </c>
      <c r="L12" s="14"/>
      <c r="M12" s="49">
        <f t="shared" si="25"/>
        <v>601.01010101010104</v>
      </c>
      <c r="N12" s="16">
        <f>INDEX('04_06_OMRI -6500'!$C13:$C409,MATCH($A12,'04_06_OMRI -6500'!$A13:$A409,0))/1.98</f>
        <v>901.5151515151515</v>
      </c>
      <c r="O12" s="14"/>
      <c r="P12" s="69">
        <f t="shared" si="26"/>
        <v>901.5151515151515</v>
      </c>
      <c r="Q12" s="1">
        <v>-5000</v>
      </c>
      <c r="R12" s="14"/>
      <c r="S12" s="1">
        <f t="shared" si="21"/>
        <v>-5000</v>
      </c>
      <c r="T12" s="71">
        <f>INDEX('04_06_OMRI -5000'!$B13:$B402,MATCH($A12,'04_06_OMRI -5000'!$A13:$A402,0))/1.98</f>
        <v>601.01010101010104</v>
      </c>
      <c r="U12" s="14"/>
      <c r="V12" s="49">
        <f t="shared" si="22"/>
        <v>601.01010101010104</v>
      </c>
      <c r="W12" s="71">
        <f>INDEX('04_06_OMRI -5000'!$C13:$C402,MATCH($A12,'04_06_OMRI -5000'!$A13:$A402,0))/1.98</f>
        <v>901.5151515151515</v>
      </c>
      <c r="X12" s="14"/>
      <c r="Y12" s="69">
        <f t="shared" si="27"/>
        <v>901.5151515151515</v>
      </c>
      <c r="Z12" s="1">
        <v>-3500</v>
      </c>
      <c r="AA12" s="14"/>
      <c r="AB12" s="5">
        <f t="shared" si="28"/>
        <v>-3500</v>
      </c>
      <c r="AC12" s="17">
        <f>INDEX('04_06_OMRI -3500'!$B13:$B402,MATCH($A12,'04_06_OMRI -3500'!$A13:$A402,0))/1.98</f>
        <v>601.01010101010104</v>
      </c>
      <c r="AD12" s="14"/>
      <c r="AE12" s="49">
        <f t="shared" si="29"/>
        <v>601.01010101010104</v>
      </c>
      <c r="AF12" s="16">
        <f>INDEX('04_06_OMRI -3500'!$C13:$C402,MATCH($A12,'04_06_OMRI -3500'!$A13:$A402,0))/1.98</f>
        <v>901.5151515151515</v>
      </c>
      <c r="AG12" s="14"/>
      <c r="AH12" s="69">
        <f t="shared" si="30"/>
        <v>901.5151515151515</v>
      </c>
      <c r="AI12" s="9">
        <v>-2000</v>
      </c>
      <c r="AJ12" s="14"/>
      <c r="AK12" s="1">
        <f t="shared" si="31"/>
        <v>-2000</v>
      </c>
      <c r="AL12" s="17">
        <f>INDEX('04_06_OMRI-2000'!$B13:$B402,MATCH($A12,'04_06_OMRI-2000'!$A13:$A402,0))/1.98</f>
        <v>601.01010101010104</v>
      </c>
      <c r="AM12" s="14"/>
      <c r="AN12" s="49">
        <f t="shared" si="32"/>
        <v>601.01010101010104</v>
      </c>
      <c r="AO12" s="16">
        <f>INDEX('04_06_OMRI-2000'!$C13:$C402,MATCH($A12,'04_06_OMRI-2000'!$A13:$A402,0))/1.98</f>
        <v>901.5151515151515</v>
      </c>
      <c r="AP12" s="14"/>
      <c r="AQ12" s="69">
        <f t="shared" si="33"/>
        <v>901.5151515151515</v>
      </c>
      <c r="AS12" s="12">
        <f t="shared" si="14"/>
        <v>0.6</v>
      </c>
      <c r="AT12" s="12">
        <f t="shared" si="15"/>
        <v>0.6</v>
      </c>
      <c r="AU12" s="12">
        <f t="shared" si="17"/>
        <v>0.6</v>
      </c>
      <c r="AV12" s="12">
        <f t="shared" si="18"/>
        <v>0.6</v>
      </c>
    </row>
    <row r="13" spans="1:48" ht="14.4" x14ac:dyDescent="0.3">
      <c r="A13" s="6">
        <f t="shared" si="19"/>
        <v>46129</v>
      </c>
      <c r="B13" s="13">
        <f>INDEX('04_06_OMRI-2000'!$E$4:$E$393,MATCH($A13,'04_06_OMRI-2000'!$A$4:$A$393,0))</f>
        <v>15000</v>
      </c>
      <c r="C13" s="14"/>
      <c r="D13" s="1">
        <f t="shared" si="20"/>
        <v>15000</v>
      </c>
      <c r="E13" s="13">
        <f>INDEX('04_06_OMRI-2000'!$D$4:$D$393,MATCH($A13,'04_06_OMRI-2000'!$A$4:$A$393,0))</f>
        <v>2200</v>
      </c>
      <c r="F13" s="14"/>
      <c r="G13" s="1">
        <f t="shared" si="23"/>
        <v>2200</v>
      </c>
      <c r="H13" s="15">
        <f t="shared" si="2"/>
        <v>-6500</v>
      </c>
      <c r="I13" s="14"/>
      <c r="J13" s="1">
        <f t="shared" si="24"/>
        <v>-6500</v>
      </c>
      <c r="K13" s="16">
        <f>INDEX('04_06_OMRI -6500'!$B14:$B410,MATCH($A13,'04_06_OMRI -6500'!$A14:$A410,0))/1.98</f>
        <v>601.01010101010104</v>
      </c>
      <c r="L13" s="14"/>
      <c r="M13" s="49">
        <f t="shared" si="25"/>
        <v>601.01010101010104</v>
      </c>
      <c r="N13" s="16">
        <f>INDEX('04_06_OMRI -6500'!$C14:$C410,MATCH($A13,'04_06_OMRI -6500'!$A14:$A410,0))/1.98</f>
        <v>901.5151515151515</v>
      </c>
      <c r="O13" s="14"/>
      <c r="P13" s="69">
        <f t="shared" si="26"/>
        <v>901.5151515151515</v>
      </c>
      <c r="Q13" s="1">
        <v>-5000</v>
      </c>
      <c r="R13" s="14"/>
      <c r="S13" s="1">
        <f t="shared" si="21"/>
        <v>-5000</v>
      </c>
      <c r="T13" s="71">
        <f>INDEX('04_06_OMRI -5000'!$B14:$B403,MATCH($A13,'04_06_OMRI -5000'!$A14:$A403,0))/1.98</f>
        <v>601.01010101010104</v>
      </c>
      <c r="U13" s="14"/>
      <c r="V13" s="49">
        <f t="shared" si="22"/>
        <v>601.01010101010104</v>
      </c>
      <c r="W13" s="71">
        <f>INDEX('04_06_OMRI -5000'!$C14:$C403,MATCH($A13,'04_06_OMRI -5000'!$A14:$A403,0))/1.98</f>
        <v>901.5151515151515</v>
      </c>
      <c r="X13" s="14"/>
      <c r="Y13" s="69">
        <f t="shared" si="27"/>
        <v>901.5151515151515</v>
      </c>
      <c r="Z13" s="1">
        <v>-3500</v>
      </c>
      <c r="AA13" s="14"/>
      <c r="AB13" s="5">
        <f t="shared" si="28"/>
        <v>-3500</v>
      </c>
      <c r="AC13" s="17">
        <f>INDEX('04_06_OMRI -3500'!$B14:$B403,MATCH($A13,'04_06_OMRI -3500'!$A14:$A403,0))/1.98</f>
        <v>601.01010101010104</v>
      </c>
      <c r="AD13" s="14"/>
      <c r="AE13" s="49">
        <f t="shared" si="29"/>
        <v>601.01010101010104</v>
      </c>
      <c r="AF13" s="16">
        <f>INDEX('04_06_OMRI -3500'!$C14:$C403,MATCH($A13,'04_06_OMRI -3500'!$A14:$A403,0))/1.98</f>
        <v>901.5151515151515</v>
      </c>
      <c r="AG13" s="14"/>
      <c r="AH13" s="69">
        <f t="shared" si="30"/>
        <v>901.5151515151515</v>
      </c>
      <c r="AI13" s="9">
        <v>-2000</v>
      </c>
      <c r="AJ13" s="14"/>
      <c r="AK13" s="1">
        <f t="shared" si="31"/>
        <v>-2000</v>
      </c>
      <c r="AL13" s="17">
        <f>INDEX('04_06_OMRI-2000'!$B14:$B403,MATCH($A13,'04_06_OMRI-2000'!$A14:$A403,0))/1.98</f>
        <v>601.01010101010104</v>
      </c>
      <c r="AM13" s="14"/>
      <c r="AN13" s="49">
        <f t="shared" si="32"/>
        <v>601.01010101010104</v>
      </c>
      <c r="AO13" s="16">
        <f>INDEX('04_06_OMRI-2000'!$C14:$C403,MATCH($A13,'04_06_OMRI-2000'!$A14:$A403,0))/1.98</f>
        <v>901.5151515151515</v>
      </c>
      <c r="AP13" s="14"/>
      <c r="AQ13" s="69">
        <f t="shared" si="33"/>
        <v>901.5151515151515</v>
      </c>
      <c r="AS13" s="12">
        <f t="shared" si="14"/>
        <v>0.6</v>
      </c>
      <c r="AT13" s="12">
        <f t="shared" si="15"/>
        <v>0.6</v>
      </c>
      <c r="AU13" s="12">
        <f t="shared" si="17"/>
        <v>0.6</v>
      </c>
      <c r="AV13" s="12">
        <f t="shared" si="18"/>
        <v>0.6</v>
      </c>
    </row>
    <row r="14" spans="1:48" ht="14.4" x14ac:dyDescent="0.3">
      <c r="A14" s="6">
        <f t="shared" si="19"/>
        <v>46130</v>
      </c>
      <c r="B14" s="13">
        <f>INDEX('04_06_OMRI-2000'!$E$4:$E$393,MATCH($A14,'04_06_OMRI-2000'!$A$4:$A$393,0))</f>
        <v>14000</v>
      </c>
      <c r="C14" s="14"/>
      <c r="D14" s="1">
        <f t="shared" si="20"/>
        <v>14000</v>
      </c>
      <c r="E14" s="13">
        <f>INDEX('04_06_OMRI-2000'!$D$4:$D$393,MATCH($A14,'04_06_OMRI-2000'!$A$4:$A$393,0))</f>
        <v>2200</v>
      </c>
      <c r="F14" s="14"/>
      <c r="G14" s="1">
        <f t="shared" si="23"/>
        <v>2200</v>
      </c>
      <c r="H14" s="15">
        <f t="shared" si="2"/>
        <v>-6500</v>
      </c>
      <c r="I14" s="14"/>
      <c r="J14" s="1">
        <f t="shared" si="24"/>
        <v>-6500</v>
      </c>
      <c r="K14" s="16">
        <f>INDEX('04_06_OMRI -6500'!$B15:$B411,MATCH($A14,'04_06_OMRI -6500'!$A15:$A411,0))/1.98</f>
        <v>601.01010101010104</v>
      </c>
      <c r="L14" s="14"/>
      <c r="M14" s="49">
        <f t="shared" si="25"/>
        <v>601.01010101010104</v>
      </c>
      <c r="N14" s="16">
        <f>INDEX('04_06_OMRI -6500'!$C15:$C411,MATCH($A14,'04_06_OMRI -6500'!$A15:$A411,0))/1.98</f>
        <v>901.5151515151515</v>
      </c>
      <c r="O14" s="14"/>
      <c r="P14" s="69">
        <f t="shared" si="26"/>
        <v>901.5151515151515</v>
      </c>
      <c r="Q14" s="1">
        <v>-5000</v>
      </c>
      <c r="R14" s="14"/>
      <c r="S14" s="1">
        <f t="shared" si="21"/>
        <v>-5000</v>
      </c>
      <c r="T14" s="71">
        <f>INDEX('04_06_OMRI -5000'!$B15:$B404,MATCH($A14,'04_06_OMRI -5000'!$A15:$A404,0))/1.98</f>
        <v>601.01010101010104</v>
      </c>
      <c r="U14" s="14"/>
      <c r="V14" s="49">
        <f t="shared" si="22"/>
        <v>601.01010101010104</v>
      </c>
      <c r="W14" s="71">
        <f>INDEX('04_06_OMRI -5000'!$C15:$C404,MATCH($A14,'04_06_OMRI -5000'!$A15:$A404,0))/1.98</f>
        <v>901.5151515151515</v>
      </c>
      <c r="X14" s="14"/>
      <c r="Y14" s="69">
        <f t="shared" si="27"/>
        <v>901.5151515151515</v>
      </c>
      <c r="Z14" s="1">
        <v>-3500</v>
      </c>
      <c r="AA14" s="14"/>
      <c r="AB14" s="5">
        <f t="shared" si="28"/>
        <v>-3500</v>
      </c>
      <c r="AC14" s="17">
        <f>INDEX('04_06_OMRI -3500'!$B15:$B404,MATCH($A14,'04_06_OMRI -3500'!$A15:$A404,0))/1.98</f>
        <v>601.01010101010104</v>
      </c>
      <c r="AD14" s="14"/>
      <c r="AE14" s="49">
        <f t="shared" si="29"/>
        <v>601.01010101010104</v>
      </c>
      <c r="AF14" s="16">
        <f>INDEX('04_06_OMRI -3500'!$C15:$C404,MATCH($A14,'04_06_OMRI -3500'!$A15:$A404,0))/1.98</f>
        <v>901.5151515151515</v>
      </c>
      <c r="AG14" s="14"/>
      <c r="AH14" s="69">
        <f t="shared" si="30"/>
        <v>901.5151515151515</v>
      </c>
      <c r="AI14" s="9">
        <v>-2000</v>
      </c>
      <c r="AJ14" s="14"/>
      <c r="AK14" s="1">
        <f t="shared" si="31"/>
        <v>-2000</v>
      </c>
      <c r="AL14" s="17">
        <f>INDEX('04_06_OMRI-2000'!$B15:$B404,MATCH($A14,'04_06_OMRI-2000'!$A15:$A404,0))/1.98</f>
        <v>601.01010101010104</v>
      </c>
      <c r="AM14" s="14"/>
      <c r="AN14" s="49">
        <f t="shared" si="32"/>
        <v>601.01010101010104</v>
      </c>
      <c r="AO14" s="16">
        <f>INDEX('04_06_OMRI-2000'!$C15:$C404,MATCH($A14,'04_06_OMRI-2000'!$A15:$A404,0))/1.98</f>
        <v>901.5151515151515</v>
      </c>
      <c r="AP14" s="14"/>
      <c r="AQ14" s="69">
        <f t="shared" si="33"/>
        <v>901.5151515151515</v>
      </c>
      <c r="AS14" s="12">
        <f t="shared" si="14"/>
        <v>0.6</v>
      </c>
      <c r="AT14" s="12">
        <f t="shared" si="15"/>
        <v>0.6</v>
      </c>
      <c r="AU14" s="12">
        <f t="shared" si="17"/>
        <v>0.6</v>
      </c>
      <c r="AV14" s="12">
        <f t="shared" si="18"/>
        <v>0.6</v>
      </c>
    </row>
    <row r="15" spans="1:48" ht="14.4" x14ac:dyDescent="0.3">
      <c r="A15" s="6">
        <f t="shared" si="19"/>
        <v>46131</v>
      </c>
      <c r="B15" s="13">
        <f>INDEX('04_06_OMRI-2000'!$E$4:$E$393,MATCH($A15,'04_06_OMRI-2000'!$A$4:$A$393,0))</f>
        <v>13000</v>
      </c>
      <c r="C15" s="14"/>
      <c r="D15" s="1">
        <f t="shared" si="20"/>
        <v>13000</v>
      </c>
      <c r="E15" s="13">
        <f>INDEX('04_06_OMRI-2000'!$D$4:$D$393,MATCH($A15,'04_06_OMRI-2000'!$A$4:$A$393,0))</f>
        <v>2200</v>
      </c>
      <c r="F15" s="14"/>
      <c r="G15" s="1">
        <f t="shared" si="23"/>
        <v>2200</v>
      </c>
      <c r="H15" s="15">
        <f t="shared" si="2"/>
        <v>-6500</v>
      </c>
      <c r="I15" s="14"/>
      <c r="J15" s="1">
        <f t="shared" si="24"/>
        <v>-6500</v>
      </c>
      <c r="K15" s="16">
        <f>INDEX('04_06_OMRI -6500'!$B16:$B412,MATCH($A15,'04_06_OMRI -6500'!$A16:$A412,0))/1.98</f>
        <v>601.01010101010104</v>
      </c>
      <c r="L15" s="14"/>
      <c r="M15" s="49">
        <f t="shared" si="25"/>
        <v>601.01010101010104</v>
      </c>
      <c r="N15" s="16">
        <f>INDEX('04_06_OMRI -6500'!$C16:$C412,MATCH($A15,'04_06_OMRI -6500'!$A16:$A412,0))/1.98</f>
        <v>901.5151515151515</v>
      </c>
      <c r="O15" s="14"/>
      <c r="P15" s="69">
        <f t="shared" si="26"/>
        <v>901.5151515151515</v>
      </c>
      <c r="Q15" s="1">
        <v>-5000</v>
      </c>
      <c r="R15" s="14"/>
      <c r="S15" s="1">
        <f t="shared" si="21"/>
        <v>-5000</v>
      </c>
      <c r="T15" s="71">
        <f>INDEX('04_06_OMRI -5000'!$B16:$B405,MATCH($A15,'04_06_OMRI -5000'!$A16:$A405,0))/1.98</f>
        <v>601.01010101010104</v>
      </c>
      <c r="U15" s="14"/>
      <c r="V15" s="49">
        <f t="shared" si="22"/>
        <v>601.01010101010104</v>
      </c>
      <c r="W15" s="71">
        <f>INDEX('04_06_OMRI -5000'!$C16:$C405,MATCH($A15,'04_06_OMRI -5000'!$A16:$A405,0))/1.98</f>
        <v>901.5151515151515</v>
      </c>
      <c r="X15" s="14"/>
      <c r="Y15" s="69">
        <f t="shared" si="27"/>
        <v>901.5151515151515</v>
      </c>
      <c r="Z15" s="1">
        <v>-3500</v>
      </c>
      <c r="AA15" s="14"/>
      <c r="AB15" s="5">
        <f t="shared" si="28"/>
        <v>-3500</v>
      </c>
      <c r="AC15" s="17">
        <f>INDEX('04_06_OMRI -3500'!$B16:$B405,MATCH($A15,'04_06_OMRI -3500'!$A16:$A405,0))/1.98</f>
        <v>601.01010101010104</v>
      </c>
      <c r="AD15" s="14"/>
      <c r="AE15" s="49">
        <f t="shared" si="29"/>
        <v>601.01010101010104</v>
      </c>
      <c r="AF15" s="16">
        <f>INDEX('04_06_OMRI -3500'!$C16:$C405,MATCH($A15,'04_06_OMRI -3500'!$A16:$A405,0))/1.98</f>
        <v>901.5151515151515</v>
      </c>
      <c r="AG15" s="14"/>
      <c r="AH15" s="69">
        <f t="shared" si="30"/>
        <v>901.5151515151515</v>
      </c>
      <c r="AI15" s="9">
        <v>-2000</v>
      </c>
      <c r="AJ15" s="14"/>
      <c r="AK15" s="1">
        <f t="shared" si="31"/>
        <v>-2000</v>
      </c>
      <c r="AL15" s="17">
        <f>INDEX('04_06_OMRI-2000'!$B16:$B405,MATCH($A15,'04_06_OMRI-2000'!$A16:$A405,0))/1.98</f>
        <v>601.01010101010104</v>
      </c>
      <c r="AM15" s="14"/>
      <c r="AN15" s="49">
        <f t="shared" si="32"/>
        <v>601.01010101010104</v>
      </c>
      <c r="AO15" s="16">
        <f>INDEX('04_06_OMRI-2000'!$C16:$C405,MATCH($A15,'04_06_OMRI-2000'!$A16:$A405,0))/1.98</f>
        <v>901.5151515151515</v>
      </c>
      <c r="AP15" s="14"/>
      <c r="AQ15" s="69">
        <f t="shared" si="33"/>
        <v>901.5151515151515</v>
      </c>
      <c r="AS15" s="12">
        <f t="shared" si="14"/>
        <v>0.6</v>
      </c>
      <c r="AT15" s="12">
        <f t="shared" si="15"/>
        <v>0.6</v>
      </c>
      <c r="AU15" s="12">
        <f t="shared" si="17"/>
        <v>0.6</v>
      </c>
      <c r="AV15" s="12">
        <f t="shared" si="18"/>
        <v>0.6</v>
      </c>
    </row>
    <row r="16" spans="1:48" ht="14.4" x14ac:dyDescent="0.3">
      <c r="A16" s="6">
        <f t="shared" si="19"/>
        <v>46132</v>
      </c>
      <c r="B16" s="13">
        <f>INDEX('04_06_OMRI-2000'!$E$4:$E$393,MATCH($A16,'04_06_OMRI-2000'!$A$4:$A$393,0))</f>
        <v>13000</v>
      </c>
      <c r="C16" s="14"/>
      <c r="D16" s="1">
        <f t="shared" si="20"/>
        <v>13000</v>
      </c>
      <c r="E16" s="13">
        <f>INDEX('04_06_OMRI-2000'!$D$4:$D$393,MATCH($A16,'04_06_OMRI-2000'!$A$4:$A$393,0))</f>
        <v>2200</v>
      </c>
      <c r="F16" s="14"/>
      <c r="G16" s="1">
        <f t="shared" si="23"/>
        <v>2200</v>
      </c>
      <c r="H16" s="15">
        <f t="shared" si="2"/>
        <v>-6500</v>
      </c>
      <c r="I16" s="14"/>
      <c r="J16" s="1">
        <f t="shared" si="24"/>
        <v>-6500</v>
      </c>
      <c r="K16" s="16">
        <f>INDEX('04_06_OMRI -6500'!$B17:$B413,MATCH($A16,'04_06_OMRI -6500'!$A17:$A413,0))/1.98</f>
        <v>601.01010101010104</v>
      </c>
      <c r="L16" s="14"/>
      <c r="M16" s="49">
        <f t="shared" si="25"/>
        <v>601.01010101010104</v>
      </c>
      <c r="N16" s="16">
        <f>INDEX('04_06_OMRI -6500'!$C17:$C413,MATCH($A16,'04_06_OMRI -6500'!$A17:$A413,0))/1.98</f>
        <v>901.5151515151515</v>
      </c>
      <c r="O16" s="14"/>
      <c r="P16" s="69">
        <f t="shared" si="26"/>
        <v>901.5151515151515</v>
      </c>
      <c r="Q16" s="1">
        <v>-5000</v>
      </c>
      <c r="R16" s="14"/>
      <c r="S16" s="1">
        <f t="shared" si="21"/>
        <v>-5000</v>
      </c>
      <c r="T16" s="71">
        <f>INDEX('04_06_OMRI -5000'!$B17:$B406,MATCH($A16,'04_06_OMRI -5000'!$A17:$A406,0))/1.98</f>
        <v>601.01010101010104</v>
      </c>
      <c r="U16" s="14"/>
      <c r="V16" s="49">
        <f t="shared" si="22"/>
        <v>601.01010101010104</v>
      </c>
      <c r="W16" s="71">
        <f>INDEX('04_06_OMRI -5000'!$C17:$C406,MATCH($A16,'04_06_OMRI -5000'!$A17:$A406,0))/1.98</f>
        <v>901.5151515151515</v>
      </c>
      <c r="X16" s="14"/>
      <c r="Y16" s="69">
        <f t="shared" si="27"/>
        <v>901.5151515151515</v>
      </c>
      <c r="Z16" s="1">
        <v>-3500</v>
      </c>
      <c r="AA16" s="14"/>
      <c r="AB16" s="5">
        <f t="shared" si="28"/>
        <v>-3500</v>
      </c>
      <c r="AC16" s="17">
        <f>INDEX('04_06_OMRI -3500'!$B17:$B406,MATCH($A16,'04_06_OMRI -3500'!$A17:$A406,0))/1.98</f>
        <v>601.01010101010104</v>
      </c>
      <c r="AD16" s="14"/>
      <c r="AE16" s="49">
        <f t="shared" si="29"/>
        <v>601.01010101010104</v>
      </c>
      <c r="AF16" s="16">
        <f>INDEX('04_06_OMRI -3500'!$C17:$C406,MATCH($A16,'04_06_OMRI -3500'!$A17:$A406,0))/1.98</f>
        <v>901.5151515151515</v>
      </c>
      <c r="AG16" s="14"/>
      <c r="AH16" s="69">
        <f t="shared" si="30"/>
        <v>901.5151515151515</v>
      </c>
      <c r="AI16" s="9">
        <v>-2000</v>
      </c>
      <c r="AJ16" s="14"/>
      <c r="AK16" s="1">
        <f t="shared" si="31"/>
        <v>-2000</v>
      </c>
      <c r="AL16" s="17">
        <f>INDEX('04_06_OMRI-2000'!$B17:$B406,MATCH($A16,'04_06_OMRI-2000'!$A17:$A406,0))/1.98</f>
        <v>601.01010101010104</v>
      </c>
      <c r="AM16" s="14"/>
      <c r="AN16" s="49">
        <f t="shared" si="32"/>
        <v>601.01010101010104</v>
      </c>
      <c r="AO16" s="16">
        <f>INDEX('04_06_OMRI-2000'!$C17:$C406,MATCH($A16,'04_06_OMRI-2000'!$A17:$A406,0))/1.98</f>
        <v>901.5151515151515</v>
      </c>
      <c r="AP16" s="14"/>
      <c r="AQ16" s="69">
        <f t="shared" si="33"/>
        <v>901.5151515151515</v>
      </c>
      <c r="AS16" s="12">
        <f t="shared" si="14"/>
        <v>0.6</v>
      </c>
      <c r="AT16" s="12">
        <f t="shared" si="15"/>
        <v>0.6</v>
      </c>
      <c r="AU16" s="12">
        <f t="shared" si="17"/>
        <v>0.6</v>
      </c>
      <c r="AV16" s="12">
        <f t="shared" si="18"/>
        <v>0.6</v>
      </c>
    </row>
    <row r="17" spans="1:48" ht="14.4" x14ac:dyDescent="0.3">
      <c r="A17" s="6">
        <f t="shared" si="19"/>
        <v>46133</v>
      </c>
      <c r="B17" s="13">
        <f>INDEX('04_06_OMRI-2000'!$E$4:$E$393,MATCH($A17,'04_06_OMRI-2000'!$A$4:$A$393,0))</f>
        <v>13000</v>
      </c>
      <c r="C17" s="14"/>
      <c r="D17" s="1">
        <f t="shared" si="20"/>
        <v>13000</v>
      </c>
      <c r="E17" s="13">
        <f>INDEX('04_06_OMRI-2000'!$D$4:$D$393,MATCH($A17,'04_06_OMRI-2000'!$A$4:$A$393,0))</f>
        <v>2200</v>
      </c>
      <c r="F17" s="14"/>
      <c r="G17" s="1">
        <f t="shared" si="23"/>
        <v>2200</v>
      </c>
      <c r="H17" s="15">
        <f t="shared" si="2"/>
        <v>-6500</v>
      </c>
      <c r="I17" s="14"/>
      <c r="J17" s="1">
        <f t="shared" si="24"/>
        <v>-6500</v>
      </c>
      <c r="K17" s="16">
        <f>INDEX('04_06_OMRI -6500'!$B18:$B414,MATCH($A17,'04_06_OMRI -6500'!$A18:$A414,0))/1.98</f>
        <v>601.01010101010104</v>
      </c>
      <c r="L17" s="14"/>
      <c r="M17" s="49">
        <f t="shared" si="25"/>
        <v>601.01010101010104</v>
      </c>
      <c r="N17" s="16">
        <f>INDEX('04_06_OMRI -6500'!$C18:$C414,MATCH($A17,'04_06_OMRI -6500'!$A18:$A414,0))/1.98</f>
        <v>901.5151515151515</v>
      </c>
      <c r="O17" s="14"/>
      <c r="P17" s="69">
        <f t="shared" si="26"/>
        <v>901.5151515151515</v>
      </c>
      <c r="Q17" s="1">
        <v>-5000</v>
      </c>
      <c r="R17" s="14"/>
      <c r="S17" s="1">
        <f t="shared" si="21"/>
        <v>-5000</v>
      </c>
      <c r="T17" s="71">
        <f>INDEX('04_06_OMRI -5000'!$B18:$B407,MATCH($A17,'04_06_OMRI -5000'!$A18:$A407,0))/1.98</f>
        <v>601.01010101010104</v>
      </c>
      <c r="U17" s="14"/>
      <c r="V17" s="49">
        <f t="shared" si="22"/>
        <v>601.01010101010104</v>
      </c>
      <c r="W17" s="71">
        <f>INDEX('04_06_OMRI -5000'!$C18:$C407,MATCH($A17,'04_06_OMRI -5000'!$A18:$A407,0))/1.98</f>
        <v>901.5151515151515</v>
      </c>
      <c r="X17" s="14"/>
      <c r="Y17" s="69">
        <f t="shared" si="27"/>
        <v>901.5151515151515</v>
      </c>
      <c r="Z17" s="1">
        <v>-3500</v>
      </c>
      <c r="AA17" s="14"/>
      <c r="AB17" s="5">
        <f t="shared" si="28"/>
        <v>-3500</v>
      </c>
      <c r="AC17" s="17">
        <f>INDEX('04_06_OMRI -3500'!$B18:$B407,MATCH($A17,'04_06_OMRI -3500'!$A18:$A407,0))/1.98</f>
        <v>601.01010101010104</v>
      </c>
      <c r="AD17" s="14"/>
      <c r="AE17" s="49">
        <f t="shared" si="29"/>
        <v>601.01010101010104</v>
      </c>
      <c r="AF17" s="16">
        <f>INDEX('04_06_OMRI -3500'!$C18:$C407,MATCH($A17,'04_06_OMRI -3500'!$A18:$A407,0))/1.98</f>
        <v>901.5151515151515</v>
      </c>
      <c r="AG17" s="14"/>
      <c r="AH17" s="69">
        <f t="shared" si="30"/>
        <v>901.5151515151515</v>
      </c>
      <c r="AI17" s="9">
        <v>-2000</v>
      </c>
      <c r="AJ17" s="14"/>
      <c r="AK17" s="1">
        <f t="shared" si="31"/>
        <v>-2000</v>
      </c>
      <c r="AL17" s="17">
        <f>INDEX('04_06_OMRI-2000'!$B18:$B407,MATCH($A17,'04_06_OMRI-2000'!$A18:$A407,0))/1.98</f>
        <v>601.01010101010104</v>
      </c>
      <c r="AM17" s="14"/>
      <c r="AN17" s="49">
        <f t="shared" si="32"/>
        <v>601.01010101010104</v>
      </c>
      <c r="AO17" s="16">
        <f>INDEX('04_06_OMRI-2000'!$C18:$C407,MATCH($A17,'04_06_OMRI-2000'!$A18:$A407,0))/1.98</f>
        <v>901.5151515151515</v>
      </c>
      <c r="AP17" s="14"/>
      <c r="AQ17" s="69">
        <f t="shared" si="33"/>
        <v>901.5151515151515</v>
      </c>
      <c r="AS17" s="12">
        <f t="shared" si="14"/>
        <v>0.6</v>
      </c>
      <c r="AT17" s="12">
        <f t="shared" si="15"/>
        <v>0.6</v>
      </c>
      <c r="AU17" s="12">
        <f t="shared" si="17"/>
        <v>0.6</v>
      </c>
      <c r="AV17" s="12">
        <f t="shared" si="18"/>
        <v>0.6</v>
      </c>
    </row>
    <row r="18" spans="1:48" ht="14.4" x14ac:dyDescent="0.3">
      <c r="A18" s="6">
        <f t="shared" si="19"/>
        <v>46134</v>
      </c>
      <c r="B18" s="13">
        <f>INDEX('04_06_OMRI-2000'!$E$4:$E$393,MATCH($A18,'04_06_OMRI-2000'!$A$4:$A$393,0))</f>
        <v>13000</v>
      </c>
      <c r="C18" s="14"/>
      <c r="D18" s="1">
        <f t="shared" si="20"/>
        <v>13000</v>
      </c>
      <c r="E18" s="13">
        <f>INDEX('04_06_OMRI-2000'!$D$4:$D$393,MATCH($A18,'04_06_OMRI-2000'!$A$4:$A$393,0))</f>
        <v>2200</v>
      </c>
      <c r="F18" s="14"/>
      <c r="G18" s="1">
        <f t="shared" si="23"/>
        <v>2200</v>
      </c>
      <c r="H18" s="15">
        <f t="shared" si="2"/>
        <v>-6500</v>
      </c>
      <c r="I18" s="14"/>
      <c r="J18" s="1">
        <f t="shared" si="24"/>
        <v>-6500</v>
      </c>
      <c r="K18" s="16">
        <f>INDEX('04_06_OMRI -6500'!$B19:$B415,MATCH($A18,'04_06_OMRI -6500'!$A19:$A415,0))/1.98</f>
        <v>601.01010101010104</v>
      </c>
      <c r="L18" s="14"/>
      <c r="M18" s="49">
        <f t="shared" si="25"/>
        <v>601.01010101010104</v>
      </c>
      <c r="N18" s="16">
        <f>INDEX('04_06_OMRI -6500'!$C19:$C415,MATCH($A18,'04_06_OMRI -6500'!$A19:$A415,0))/1.98</f>
        <v>901.5151515151515</v>
      </c>
      <c r="O18" s="14"/>
      <c r="P18" s="69">
        <f t="shared" si="26"/>
        <v>901.5151515151515</v>
      </c>
      <c r="Q18" s="1">
        <v>-5000</v>
      </c>
      <c r="R18" s="14"/>
      <c r="S18" s="1">
        <f t="shared" si="21"/>
        <v>-5000</v>
      </c>
      <c r="T18" s="71">
        <f>INDEX('04_06_OMRI -5000'!$B19:$B408,MATCH($A18,'04_06_OMRI -5000'!$A19:$A408,0))/1.98</f>
        <v>601.01010101010104</v>
      </c>
      <c r="U18" s="14"/>
      <c r="V18" s="49">
        <f t="shared" si="22"/>
        <v>601.01010101010104</v>
      </c>
      <c r="W18" s="71">
        <f>INDEX('04_06_OMRI -5000'!$C19:$C408,MATCH($A18,'04_06_OMRI -5000'!$A19:$A408,0))/1.98</f>
        <v>901.5151515151515</v>
      </c>
      <c r="X18" s="14"/>
      <c r="Y18" s="69">
        <f t="shared" si="27"/>
        <v>901.5151515151515</v>
      </c>
      <c r="Z18" s="1">
        <v>-3500</v>
      </c>
      <c r="AA18" s="14"/>
      <c r="AB18" s="5">
        <f t="shared" si="28"/>
        <v>-3500</v>
      </c>
      <c r="AC18" s="17">
        <f>INDEX('04_06_OMRI -3500'!$B19:$B408,MATCH($A18,'04_06_OMRI -3500'!$A19:$A408,0))/1.98</f>
        <v>601.01010101010104</v>
      </c>
      <c r="AD18" s="14"/>
      <c r="AE18" s="49">
        <f t="shared" si="29"/>
        <v>601.01010101010104</v>
      </c>
      <c r="AF18" s="16">
        <f>INDEX('04_06_OMRI -3500'!$C19:$C408,MATCH($A18,'04_06_OMRI -3500'!$A19:$A408,0))/1.98</f>
        <v>901.5151515151515</v>
      </c>
      <c r="AG18" s="14"/>
      <c r="AH18" s="69">
        <f t="shared" si="30"/>
        <v>901.5151515151515</v>
      </c>
      <c r="AI18" s="9">
        <v>-2000</v>
      </c>
      <c r="AJ18" s="14"/>
      <c r="AK18" s="1">
        <f t="shared" si="31"/>
        <v>-2000</v>
      </c>
      <c r="AL18" s="17">
        <f>INDEX('04_06_OMRI-2000'!$B19:$B408,MATCH($A18,'04_06_OMRI-2000'!$A19:$A408,0))/1.98</f>
        <v>601.01010101010104</v>
      </c>
      <c r="AM18" s="14"/>
      <c r="AN18" s="49">
        <f t="shared" si="32"/>
        <v>601.01010101010104</v>
      </c>
      <c r="AO18" s="16">
        <f>INDEX('04_06_OMRI-2000'!$C19:$C408,MATCH($A18,'04_06_OMRI-2000'!$A19:$A408,0))/1.98</f>
        <v>901.5151515151515</v>
      </c>
      <c r="AP18" s="14"/>
      <c r="AQ18" s="69">
        <f t="shared" si="33"/>
        <v>901.5151515151515</v>
      </c>
      <c r="AS18" s="12">
        <f t="shared" si="14"/>
        <v>0.6</v>
      </c>
      <c r="AT18" s="12">
        <f t="shared" si="15"/>
        <v>0.6</v>
      </c>
      <c r="AU18" s="12">
        <f t="shared" si="17"/>
        <v>0.6</v>
      </c>
      <c r="AV18" s="12">
        <f t="shared" si="18"/>
        <v>0.6</v>
      </c>
    </row>
    <row r="19" spans="1:48" ht="14.4" x14ac:dyDescent="0.3">
      <c r="A19" s="6">
        <f t="shared" si="19"/>
        <v>46135</v>
      </c>
      <c r="B19" s="13">
        <f>INDEX('04_06_OMRI-2000'!$E$4:$E$393,MATCH($A19,'04_06_OMRI-2000'!$A$4:$A$393,0))</f>
        <v>13000</v>
      </c>
      <c r="C19" s="14"/>
      <c r="D19" s="1">
        <f t="shared" si="20"/>
        <v>13000</v>
      </c>
      <c r="E19" s="13">
        <f>INDEX('04_06_OMRI-2000'!$D$4:$D$393,MATCH($A19,'04_06_OMRI-2000'!$A$4:$A$393,0))</f>
        <v>2200</v>
      </c>
      <c r="F19" s="14"/>
      <c r="G19" s="1">
        <f t="shared" si="23"/>
        <v>2200</v>
      </c>
      <c r="H19" s="15">
        <f t="shared" si="2"/>
        <v>-6500</v>
      </c>
      <c r="I19" s="14"/>
      <c r="J19" s="1">
        <f t="shared" si="24"/>
        <v>-6500</v>
      </c>
      <c r="K19" s="16">
        <f>INDEX('04_06_OMRI -6500'!$B20:$B416,MATCH($A19,'04_06_OMRI -6500'!$A20:$A416,0))/1.98</f>
        <v>601.01010101010104</v>
      </c>
      <c r="L19" s="14"/>
      <c r="M19" s="49">
        <f t="shared" si="25"/>
        <v>601.01010101010104</v>
      </c>
      <c r="N19" s="16">
        <f>INDEX('04_06_OMRI -6500'!$C20:$C416,MATCH($A19,'04_06_OMRI -6500'!$A20:$A416,0))/1.98</f>
        <v>901.5151515151515</v>
      </c>
      <c r="O19" s="14"/>
      <c r="P19" s="69">
        <f t="shared" si="26"/>
        <v>901.5151515151515</v>
      </c>
      <c r="Q19" s="1">
        <v>-5000</v>
      </c>
      <c r="R19" s="14"/>
      <c r="S19" s="1">
        <f t="shared" si="21"/>
        <v>-5000</v>
      </c>
      <c r="T19" s="71">
        <f>INDEX('04_06_OMRI -5000'!$B20:$B409,MATCH($A19,'04_06_OMRI -5000'!$A20:$A409,0))/1.98</f>
        <v>601.01010101010104</v>
      </c>
      <c r="U19" s="14"/>
      <c r="V19" s="49">
        <f t="shared" si="22"/>
        <v>601.01010101010104</v>
      </c>
      <c r="W19" s="71">
        <f>INDEX('04_06_OMRI -5000'!$C20:$C409,MATCH($A19,'04_06_OMRI -5000'!$A20:$A409,0))/1.98</f>
        <v>901.5151515151515</v>
      </c>
      <c r="X19" s="14"/>
      <c r="Y19" s="69">
        <f t="shared" si="27"/>
        <v>901.5151515151515</v>
      </c>
      <c r="Z19" s="1">
        <v>-3500</v>
      </c>
      <c r="AA19" s="14"/>
      <c r="AB19" s="5">
        <f t="shared" si="28"/>
        <v>-3500</v>
      </c>
      <c r="AC19" s="17">
        <f>INDEX('04_06_OMRI -3500'!$B20:$B409,MATCH($A19,'04_06_OMRI -3500'!$A20:$A409,0))/1.98</f>
        <v>601.01010101010104</v>
      </c>
      <c r="AD19" s="14"/>
      <c r="AE19" s="49">
        <f t="shared" si="29"/>
        <v>601.01010101010104</v>
      </c>
      <c r="AF19" s="16">
        <f>INDEX('04_06_OMRI -3500'!$C20:$C409,MATCH($A19,'04_06_OMRI -3500'!$A20:$A409,0))/1.98</f>
        <v>901.5151515151515</v>
      </c>
      <c r="AG19" s="14"/>
      <c r="AH19" s="69">
        <f t="shared" si="30"/>
        <v>901.5151515151515</v>
      </c>
      <c r="AI19" s="9">
        <v>-2000</v>
      </c>
      <c r="AJ19" s="14"/>
      <c r="AK19" s="1">
        <f t="shared" si="31"/>
        <v>-2000</v>
      </c>
      <c r="AL19" s="17">
        <f>INDEX('04_06_OMRI-2000'!$B20:$B409,MATCH($A19,'04_06_OMRI-2000'!$A20:$A409,0))/1.98</f>
        <v>601.01010101010104</v>
      </c>
      <c r="AM19" s="14"/>
      <c r="AN19" s="49">
        <f t="shared" si="32"/>
        <v>601.01010101010104</v>
      </c>
      <c r="AO19" s="16">
        <f>INDEX('04_06_OMRI-2000'!$C20:$C409,MATCH($A19,'04_06_OMRI-2000'!$A20:$A409,0))/1.98</f>
        <v>901.5151515151515</v>
      </c>
      <c r="AP19" s="14"/>
      <c r="AQ19" s="69">
        <f t="shared" si="33"/>
        <v>901.5151515151515</v>
      </c>
      <c r="AS19" s="12">
        <f t="shared" si="14"/>
        <v>0.6</v>
      </c>
      <c r="AT19" s="12">
        <f t="shared" si="15"/>
        <v>0.6</v>
      </c>
      <c r="AU19" s="12">
        <f t="shared" si="17"/>
        <v>0.6</v>
      </c>
      <c r="AV19" s="12">
        <f t="shared" si="18"/>
        <v>0.6</v>
      </c>
    </row>
    <row r="20" spans="1:48" ht="14.4" x14ac:dyDescent="0.3">
      <c r="A20" s="6">
        <f t="shared" si="19"/>
        <v>46136</v>
      </c>
      <c r="B20" s="13">
        <f>INDEX('04_06_OMRI-2000'!$E$4:$E$393,MATCH($A20,'04_06_OMRI-2000'!$A$4:$A$393,0))</f>
        <v>13000</v>
      </c>
      <c r="C20" s="14"/>
      <c r="D20" s="1">
        <f t="shared" si="20"/>
        <v>13000</v>
      </c>
      <c r="E20" s="13">
        <f>INDEX('04_06_OMRI-2000'!$D$4:$D$393,MATCH($A20,'04_06_OMRI-2000'!$A$4:$A$393,0))</f>
        <v>2200</v>
      </c>
      <c r="F20" s="14"/>
      <c r="G20" s="1">
        <f t="shared" si="23"/>
        <v>2200</v>
      </c>
      <c r="H20" s="15">
        <f t="shared" si="2"/>
        <v>-6500</v>
      </c>
      <c r="I20" s="14"/>
      <c r="J20" s="1">
        <f t="shared" si="24"/>
        <v>-6500</v>
      </c>
      <c r="K20" s="16">
        <f>INDEX('04_06_OMRI -6500'!$B21:$B417,MATCH($A20,'04_06_OMRI -6500'!$A21:$A417,0))/1.98</f>
        <v>601.01010101010104</v>
      </c>
      <c r="L20" s="14"/>
      <c r="M20" s="49">
        <f t="shared" si="25"/>
        <v>601.01010101010104</v>
      </c>
      <c r="N20" s="16">
        <f>INDEX('04_06_OMRI -6500'!$C21:$C417,MATCH($A20,'04_06_OMRI -6500'!$A21:$A417,0))/1.98</f>
        <v>901.5151515151515</v>
      </c>
      <c r="O20" s="14"/>
      <c r="P20" s="69">
        <f t="shared" si="26"/>
        <v>901.5151515151515</v>
      </c>
      <c r="Q20" s="1">
        <v>-5000</v>
      </c>
      <c r="R20" s="14"/>
      <c r="S20" s="1">
        <f t="shared" si="21"/>
        <v>-5000</v>
      </c>
      <c r="T20" s="71">
        <f>INDEX('04_06_OMRI -5000'!$B21:$B410,MATCH($A20,'04_06_OMRI -5000'!$A21:$A410,0))/1.98</f>
        <v>601.01010101010104</v>
      </c>
      <c r="U20" s="14"/>
      <c r="V20" s="49">
        <f t="shared" si="22"/>
        <v>601.01010101010104</v>
      </c>
      <c r="W20" s="71">
        <f>INDEX('04_06_OMRI -5000'!$C21:$C410,MATCH($A20,'04_06_OMRI -5000'!$A21:$A410,0))/1.98</f>
        <v>901.5151515151515</v>
      </c>
      <c r="X20" s="14"/>
      <c r="Y20" s="69">
        <f t="shared" si="27"/>
        <v>901.5151515151515</v>
      </c>
      <c r="Z20" s="1">
        <v>-3500</v>
      </c>
      <c r="AA20" s="14"/>
      <c r="AB20" s="5">
        <f t="shared" si="28"/>
        <v>-3500</v>
      </c>
      <c r="AC20" s="17">
        <f>INDEX('04_06_OMRI -3500'!$B21:$B410,MATCH($A20,'04_06_OMRI -3500'!$A21:$A410,0))/1.98</f>
        <v>601.01010101010104</v>
      </c>
      <c r="AD20" s="14"/>
      <c r="AE20" s="49">
        <f t="shared" si="29"/>
        <v>601.01010101010104</v>
      </c>
      <c r="AF20" s="16">
        <f>INDEX('04_06_OMRI -3500'!$C21:$C410,MATCH($A20,'04_06_OMRI -3500'!$A21:$A410,0))/1.98</f>
        <v>901.5151515151515</v>
      </c>
      <c r="AG20" s="14"/>
      <c r="AH20" s="69">
        <f t="shared" si="30"/>
        <v>901.5151515151515</v>
      </c>
      <c r="AI20" s="9">
        <v>-2000</v>
      </c>
      <c r="AJ20" s="14"/>
      <c r="AK20" s="1">
        <f t="shared" si="31"/>
        <v>-2000</v>
      </c>
      <c r="AL20" s="17">
        <f>INDEX('04_06_OMRI-2000'!$B21:$B410,MATCH($A20,'04_06_OMRI-2000'!$A21:$A410,0))/1.98</f>
        <v>601.01010101010104</v>
      </c>
      <c r="AM20" s="14"/>
      <c r="AN20" s="49">
        <f t="shared" si="32"/>
        <v>601.01010101010104</v>
      </c>
      <c r="AO20" s="16">
        <f>INDEX('04_06_OMRI-2000'!$C21:$C410,MATCH($A20,'04_06_OMRI-2000'!$A21:$A410,0))/1.98</f>
        <v>901.5151515151515</v>
      </c>
      <c r="AP20" s="14"/>
      <c r="AQ20" s="69">
        <f t="shared" si="33"/>
        <v>901.5151515151515</v>
      </c>
      <c r="AS20" s="12">
        <f t="shared" si="14"/>
        <v>0.6</v>
      </c>
      <c r="AT20" s="12">
        <f t="shared" si="15"/>
        <v>0.6</v>
      </c>
      <c r="AU20" s="12">
        <f t="shared" si="17"/>
        <v>0.6</v>
      </c>
      <c r="AV20" s="12">
        <f t="shared" si="18"/>
        <v>0.6</v>
      </c>
    </row>
    <row r="21" spans="1:48" ht="14.4" x14ac:dyDescent="0.3">
      <c r="A21" s="6">
        <f t="shared" si="19"/>
        <v>46137</v>
      </c>
      <c r="B21" s="13">
        <f>INDEX('04_06_OMRI-2000'!$E$4:$E$393,MATCH($A21,'04_06_OMRI-2000'!$A$4:$A$393,0))</f>
        <v>13000</v>
      </c>
      <c r="C21" s="14"/>
      <c r="D21" s="1">
        <f t="shared" si="20"/>
        <v>13000</v>
      </c>
      <c r="E21" s="13">
        <f>INDEX('04_06_OMRI-2000'!$D$4:$D$393,MATCH($A21,'04_06_OMRI-2000'!$A$4:$A$393,0))</f>
        <v>2200</v>
      </c>
      <c r="F21" s="14"/>
      <c r="G21" s="1">
        <f t="shared" si="23"/>
        <v>2200</v>
      </c>
      <c r="H21" s="15">
        <f t="shared" si="2"/>
        <v>-6500</v>
      </c>
      <c r="I21" s="14"/>
      <c r="J21" s="1">
        <f t="shared" si="24"/>
        <v>-6500</v>
      </c>
      <c r="K21" s="16">
        <f>INDEX('04_06_OMRI -6500'!$B22:$B418,MATCH($A21,'04_06_OMRI -6500'!$A22:$A418,0))/1.98</f>
        <v>601.01010101010104</v>
      </c>
      <c r="L21" s="14"/>
      <c r="M21" s="49">
        <f t="shared" si="25"/>
        <v>601.01010101010104</v>
      </c>
      <c r="N21" s="16">
        <f>INDEX('04_06_OMRI -6500'!$C22:$C418,MATCH($A21,'04_06_OMRI -6500'!$A22:$A418,0))/1.98</f>
        <v>901.5151515151515</v>
      </c>
      <c r="O21" s="14"/>
      <c r="P21" s="69">
        <f t="shared" si="26"/>
        <v>901.5151515151515</v>
      </c>
      <c r="Q21" s="1">
        <v>-5000</v>
      </c>
      <c r="R21" s="14"/>
      <c r="S21" s="1">
        <f t="shared" si="21"/>
        <v>-5000</v>
      </c>
      <c r="T21" s="71">
        <f>INDEX('04_06_OMRI -5000'!$B22:$B411,MATCH($A21,'04_06_OMRI -5000'!$A22:$A411,0))/1.98</f>
        <v>601.01010101010104</v>
      </c>
      <c r="U21" s="14"/>
      <c r="V21" s="49">
        <f t="shared" si="22"/>
        <v>601.01010101010104</v>
      </c>
      <c r="W21" s="71">
        <f>INDEX('04_06_OMRI -5000'!$C22:$C411,MATCH($A21,'04_06_OMRI -5000'!$A22:$A411,0))/1.98</f>
        <v>901.5151515151515</v>
      </c>
      <c r="X21" s="14"/>
      <c r="Y21" s="69">
        <f t="shared" si="27"/>
        <v>901.5151515151515</v>
      </c>
      <c r="Z21" s="1">
        <v>-3500</v>
      </c>
      <c r="AA21" s="14"/>
      <c r="AB21" s="5">
        <f t="shared" si="28"/>
        <v>-3500</v>
      </c>
      <c r="AC21" s="17">
        <f>INDEX('04_06_OMRI -3500'!$B22:$B411,MATCH($A21,'04_06_OMRI -3500'!$A22:$A411,0))/1.98</f>
        <v>601.01010101010104</v>
      </c>
      <c r="AD21" s="14"/>
      <c r="AE21" s="49">
        <f t="shared" si="29"/>
        <v>601.01010101010104</v>
      </c>
      <c r="AF21" s="16">
        <f>INDEX('04_06_OMRI -3500'!$C22:$C411,MATCH($A21,'04_06_OMRI -3500'!$A22:$A411,0))/1.98</f>
        <v>901.5151515151515</v>
      </c>
      <c r="AG21" s="14"/>
      <c r="AH21" s="69">
        <f t="shared" si="30"/>
        <v>901.5151515151515</v>
      </c>
      <c r="AI21" s="9">
        <v>-2000</v>
      </c>
      <c r="AJ21" s="14"/>
      <c r="AK21" s="1">
        <f t="shared" si="31"/>
        <v>-2000</v>
      </c>
      <c r="AL21" s="17">
        <f>INDEX('04_06_OMRI-2000'!$B22:$B411,MATCH($A21,'04_06_OMRI-2000'!$A22:$A411,0))/1.98</f>
        <v>601.01010101010104</v>
      </c>
      <c r="AM21" s="14"/>
      <c r="AN21" s="49">
        <f t="shared" si="32"/>
        <v>601.01010101010104</v>
      </c>
      <c r="AO21" s="16">
        <f>INDEX('04_06_OMRI-2000'!$C22:$C411,MATCH($A21,'04_06_OMRI-2000'!$A22:$A411,0))/1.98</f>
        <v>901.5151515151515</v>
      </c>
      <c r="AP21" s="14"/>
      <c r="AQ21" s="69">
        <f t="shared" si="33"/>
        <v>901.5151515151515</v>
      </c>
      <c r="AS21" s="12">
        <f t="shared" si="14"/>
        <v>0.6</v>
      </c>
      <c r="AT21" s="12">
        <f t="shared" si="15"/>
        <v>0.6</v>
      </c>
      <c r="AU21" s="12">
        <f t="shared" si="17"/>
        <v>0.6</v>
      </c>
      <c r="AV21" s="12">
        <f t="shared" si="18"/>
        <v>0.6</v>
      </c>
    </row>
    <row r="22" spans="1:48" ht="14.4" x14ac:dyDescent="0.3">
      <c r="A22" s="6">
        <f t="shared" si="19"/>
        <v>46138</v>
      </c>
      <c r="B22" s="13">
        <f>INDEX('04_06_OMRI-2000'!$E$4:$E$393,MATCH($A22,'04_06_OMRI-2000'!$A$4:$A$393,0))</f>
        <v>13000</v>
      </c>
      <c r="C22" s="14"/>
      <c r="D22" s="1">
        <f t="shared" si="20"/>
        <v>13000</v>
      </c>
      <c r="E22" s="13">
        <f>INDEX('04_06_OMRI-2000'!$D$4:$D$393,MATCH($A22,'04_06_OMRI-2000'!$A$4:$A$393,0))</f>
        <v>2200</v>
      </c>
      <c r="F22" s="14"/>
      <c r="G22" s="1">
        <f t="shared" si="23"/>
        <v>2200</v>
      </c>
      <c r="H22" s="15">
        <f t="shared" si="2"/>
        <v>-6500</v>
      </c>
      <c r="I22" s="14"/>
      <c r="J22" s="1">
        <f t="shared" si="24"/>
        <v>-6500</v>
      </c>
      <c r="K22" s="16">
        <f>INDEX('04_06_OMRI -6500'!$B23:$B419,MATCH($A22,'04_06_OMRI -6500'!$A23:$A419,0))/1.98</f>
        <v>601.01010101010104</v>
      </c>
      <c r="L22" s="14"/>
      <c r="M22" s="49">
        <f t="shared" si="25"/>
        <v>601.01010101010104</v>
      </c>
      <c r="N22" s="16">
        <f>INDEX('04_06_OMRI -6500'!$C23:$C419,MATCH($A22,'04_06_OMRI -6500'!$A23:$A419,0))/1.98</f>
        <v>901.5151515151515</v>
      </c>
      <c r="O22" s="14"/>
      <c r="P22" s="69">
        <f t="shared" si="26"/>
        <v>901.5151515151515</v>
      </c>
      <c r="Q22" s="1">
        <v>-5000</v>
      </c>
      <c r="R22" s="14"/>
      <c r="S22" s="1">
        <f t="shared" si="21"/>
        <v>-5000</v>
      </c>
      <c r="T22" s="71">
        <f>INDEX('04_06_OMRI -5000'!$B23:$B412,MATCH($A22,'04_06_OMRI -5000'!$A23:$A412,0))/1.98</f>
        <v>601.01010101010104</v>
      </c>
      <c r="U22" s="14"/>
      <c r="V22" s="49">
        <f t="shared" si="22"/>
        <v>601.01010101010104</v>
      </c>
      <c r="W22" s="71">
        <f>INDEX('04_06_OMRI -5000'!$C23:$C412,MATCH($A22,'04_06_OMRI -5000'!$A23:$A412,0))/1.98</f>
        <v>901.5151515151515</v>
      </c>
      <c r="X22" s="14"/>
      <c r="Y22" s="69">
        <f t="shared" si="27"/>
        <v>901.5151515151515</v>
      </c>
      <c r="Z22" s="1">
        <v>-3500</v>
      </c>
      <c r="AA22" s="14"/>
      <c r="AB22" s="5">
        <f t="shared" si="28"/>
        <v>-3500</v>
      </c>
      <c r="AC22" s="17">
        <f>INDEX('04_06_OMRI -3500'!$B23:$B412,MATCH($A22,'04_06_OMRI -3500'!$A23:$A412,0))/1.98</f>
        <v>601.01010101010104</v>
      </c>
      <c r="AD22" s="14"/>
      <c r="AE22" s="49">
        <f t="shared" si="29"/>
        <v>601.01010101010104</v>
      </c>
      <c r="AF22" s="16">
        <f>INDEX('04_06_OMRI -3500'!$C23:$C412,MATCH($A22,'04_06_OMRI -3500'!$A23:$A412,0))/1.98</f>
        <v>901.5151515151515</v>
      </c>
      <c r="AG22" s="14"/>
      <c r="AH22" s="69">
        <f t="shared" si="30"/>
        <v>901.5151515151515</v>
      </c>
      <c r="AI22" s="9">
        <v>-2000</v>
      </c>
      <c r="AJ22" s="14"/>
      <c r="AK22" s="1">
        <f t="shared" si="31"/>
        <v>-2000</v>
      </c>
      <c r="AL22" s="17">
        <f>INDEX('04_06_OMRI-2000'!$B23:$B412,MATCH($A22,'04_06_OMRI-2000'!$A23:$A412,0))/1.98</f>
        <v>601.01010101010104</v>
      </c>
      <c r="AM22" s="14"/>
      <c r="AN22" s="49">
        <f t="shared" si="32"/>
        <v>601.01010101010104</v>
      </c>
      <c r="AO22" s="16">
        <f>INDEX('04_06_OMRI-2000'!$C23:$C412,MATCH($A22,'04_06_OMRI-2000'!$A23:$A412,0))/1.98</f>
        <v>901.5151515151515</v>
      </c>
      <c r="AP22" s="14"/>
      <c r="AQ22" s="69">
        <f t="shared" si="33"/>
        <v>901.5151515151515</v>
      </c>
      <c r="AS22" s="12">
        <f t="shared" si="14"/>
        <v>0.6</v>
      </c>
      <c r="AT22" s="12">
        <f t="shared" si="15"/>
        <v>0.6</v>
      </c>
      <c r="AU22" s="12">
        <f t="shared" si="17"/>
        <v>0.6</v>
      </c>
      <c r="AV22" s="12">
        <f t="shared" si="18"/>
        <v>0.6</v>
      </c>
    </row>
    <row r="23" spans="1:48" ht="14.4" x14ac:dyDescent="0.3">
      <c r="A23" s="6">
        <f t="shared" si="19"/>
        <v>46139</v>
      </c>
      <c r="B23" s="13">
        <f>INDEX('04_06_OMRI-2000'!$E$4:$E$393,MATCH($A23,'04_06_OMRI-2000'!$A$4:$A$393,0))</f>
        <v>13000</v>
      </c>
      <c r="C23" s="14"/>
      <c r="D23" s="1">
        <f t="shared" si="20"/>
        <v>13000</v>
      </c>
      <c r="E23" s="13">
        <f>INDEX('04_06_OMRI-2000'!$D$4:$D$393,MATCH($A23,'04_06_OMRI-2000'!$A$4:$A$393,0))</f>
        <v>2200</v>
      </c>
      <c r="F23" s="14"/>
      <c r="G23" s="1">
        <f t="shared" si="23"/>
        <v>2200</v>
      </c>
      <c r="H23" s="15">
        <f t="shared" si="2"/>
        <v>-6500</v>
      </c>
      <c r="I23" s="14"/>
      <c r="J23" s="1">
        <f t="shared" si="24"/>
        <v>-6500</v>
      </c>
      <c r="K23" s="16">
        <f>INDEX('04_06_OMRI -6500'!$B24:$B420,MATCH($A23,'04_06_OMRI -6500'!$A24:$A420,0))/1.98</f>
        <v>601.01010101010104</v>
      </c>
      <c r="L23" s="14"/>
      <c r="M23" s="49">
        <f t="shared" si="25"/>
        <v>601.01010101010104</v>
      </c>
      <c r="N23" s="16">
        <f>INDEX('04_06_OMRI -6500'!$C24:$C420,MATCH($A23,'04_06_OMRI -6500'!$A24:$A420,0))/1.98</f>
        <v>901.5151515151515</v>
      </c>
      <c r="O23" s="14"/>
      <c r="P23" s="69">
        <f t="shared" si="26"/>
        <v>901.5151515151515</v>
      </c>
      <c r="Q23" s="1">
        <v>-5000</v>
      </c>
      <c r="R23" s="14"/>
      <c r="S23" s="1">
        <f t="shared" si="21"/>
        <v>-5000</v>
      </c>
      <c r="T23" s="71">
        <f>INDEX('04_06_OMRI -5000'!$B24:$B413,MATCH($A23,'04_06_OMRI -5000'!$A24:$A413,0))/1.98</f>
        <v>601.01010101010104</v>
      </c>
      <c r="U23" s="14"/>
      <c r="V23" s="49">
        <f t="shared" si="22"/>
        <v>601.01010101010104</v>
      </c>
      <c r="W23" s="71">
        <f>INDEX('04_06_OMRI -5000'!$C24:$C413,MATCH($A23,'04_06_OMRI -5000'!$A24:$A413,0))/1.98</f>
        <v>901.5151515151515</v>
      </c>
      <c r="X23" s="14"/>
      <c r="Y23" s="69">
        <f t="shared" si="27"/>
        <v>901.5151515151515</v>
      </c>
      <c r="Z23" s="1">
        <v>-3500</v>
      </c>
      <c r="AA23" s="14"/>
      <c r="AB23" s="5">
        <f t="shared" si="28"/>
        <v>-3500</v>
      </c>
      <c r="AC23" s="17">
        <f>INDEX('04_06_OMRI -3500'!$B24:$B413,MATCH($A23,'04_06_OMRI -3500'!$A24:$A413,0))/1.98</f>
        <v>601.01010101010104</v>
      </c>
      <c r="AD23" s="14"/>
      <c r="AE23" s="49">
        <f t="shared" si="29"/>
        <v>601.01010101010104</v>
      </c>
      <c r="AF23" s="16">
        <f>INDEX('04_06_OMRI -3500'!$C24:$C413,MATCH($A23,'04_06_OMRI -3500'!$A24:$A413,0))/1.98</f>
        <v>901.5151515151515</v>
      </c>
      <c r="AG23" s="14"/>
      <c r="AH23" s="69">
        <f t="shared" si="30"/>
        <v>901.5151515151515</v>
      </c>
      <c r="AI23" s="9">
        <v>-2000</v>
      </c>
      <c r="AJ23" s="14"/>
      <c r="AK23" s="1">
        <f t="shared" si="31"/>
        <v>-2000</v>
      </c>
      <c r="AL23" s="17">
        <f>INDEX('04_06_OMRI-2000'!$B24:$B413,MATCH($A23,'04_06_OMRI-2000'!$A24:$A413,0))/1.98</f>
        <v>601.01010101010104</v>
      </c>
      <c r="AM23" s="14"/>
      <c r="AN23" s="49">
        <f t="shared" si="32"/>
        <v>601.01010101010104</v>
      </c>
      <c r="AO23" s="16">
        <f>INDEX('04_06_OMRI-2000'!$C24:$C413,MATCH($A23,'04_06_OMRI-2000'!$A24:$A413,0))/1.98</f>
        <v>901.5151515151515</v>
      </c>
      <c r="AP23" s="14"/>
      <c r="AQ23" s="69">
        <f t="shared" si="33"/>
        <v>901.5151515151515</v>
      </c>
      <c r="AS23" s="12">
        <f t="shared" si="14"/>
        <v>0.6</v>
      </c>
      <c r="AT23" s="12">
        <f t="shared" si="15"/>
        <v>0.6</v>
      </c>
      <c r="AU23" s="12">
        <f t="shared" si="17"/>
        <v>0.6</v>
      </c>
      <c r="AV23" s="12">
        <f t="shared" si="18"/>
        <v>0.6</v>
      </c>
    </row>
    <row r="24" spans="1:48" ht="15" thickBot="1" x14ac:dyDescent="0.35">
      <c r="A24" s="6">
        <f t="shared" si="19"/>
        <v>46140</v>
      </c>
      <c r="B24" s="13">
        <f>INDEX('04_06_OMRI-2000'!$E$4:$E$393,MATCH($A24,'04_06_OMRI-2000'!$A$4:$A$393,0))</f>
        <v>13000</v>
      </c>
      <c r="C24" s="14"/>
      <c r="D24" s="1">
        <f t="shared" si="20"/>
        <v>13000</v>
      </c>
      <c r="E24" s="13">
        <f>INDEX('04_06_OMRI-2000'!$D$4:$D$393,MATCH($A24,'04_06_OMRI-2000'!$A$4:$A$393,0))</f>
        <v>2200</v>
      </c>
      <c r="F24" s="14"/>
      <c r="G24" s="1">
        <f t="shared" si="23"/>
        <v>2200</v>
      </c>
      <c r="H24" s="15">
        <f t="shared" si="2"/>
        <v>-6500</v>
      </c>
      <c r="I24" s="18"/>
      <c r="J24" s="19">
        <f t="shared" si="24"/>
        <v>-6500</v>
      </c>
      <c r="K24" s="16">
        <f>INDEX('04_06_OMRI -6500'!$B25:$B421,MATCH($A24,'04_06_OMRI -6500'!$A25:$A421,0))/1.98</f>
        <v>601.01010101010104</v>
      </c>
      <c r="L24" s="18"/>
      <c r="M24" s="68">
        <f t="shared" si="25"/>
        <v>601.01010101010104</v>
      </c>
      <c r="N24" s="16">
        <f>INDEX('04_06_OMRI -6500'!$C25:$C421,MATCH($A24,'04_06_OMRI -6500'!$A25:$A421,0))/1.98</f>
        <v>901.5151515151515</v>
      </c>
      <c r="O24" s="18"/>
      <c r="P24" s="70">
        <f t="shared" si="26"/>
        <v>901.5151515151515</v>
      </c>
      <c r="Q24" s="1">
        <v>-5000</v>
      </c>
      <c r="R24" s="18"/>
      <c r="S24" s="19">
        <f t="shared" si="21"/>
        <v>-5000</v>
      </c>
      <c r="T24" s="72">
        <f>INDEX('04_06_OMRI -5000'!$B25:$B414,MATCH($A24,'04_06_OMRI -5000'!$A25:$A414,0))/1.98</f>
        <v>601.01010101010104</v>
      </c>
      <c r="U24" s="18"/>
      <c r="V24" s="68">
        <f t="shared" si="22"/>
        <v>601.01010101010104</v>
      </c>
      <c r="W24" s="72">
        <f>INDEX('04_06_OMRI -5000'!$C25:$C414,MATCH($A24,'04_06_OMRI -5000'!$A25:$A414,0))/1.98</f>
        <v>901.5151515151515</v>
      </c>
      <c r="X24" s="18"/>
      <c r="Y24" s="70">
        <f t="shared" si="27"/>
        <v>901.5151515151515</v>
      </c>
      <c r="Z24" s="1">
        <v>-3500</v>
      </c>
      <c r="AA24" s="18"/>
      <c r="AB24" s="20">
        <f t="shared" si="28"/>
        <v>-3500</v>
      </c>
      <c r="AC24" s="21">
        <f>INDEX('04_06_OMRI -3500'!$B25:$B414,MATCH($A24,'04_06_OMRI -3500'!$A25:$A414,0))/1.98</f>
        <v>601.01010101010104</v>
      </c>
      <c r="AD24" s="18"/>
      <c r="AE24" s="68">
        <f t="shared" si="29"/>
        <v>601.01010101010104</v>
      </c>
      <c r="AF24" s="16">
        <f>INDEX('04_06_OMRI -3500'!$C25:$C414,MATCH($A24,'04_06_OMRI -3500'!$A25:$A414,0))/1.98</f>
        <v>901.5151515151515</v>
      </c>
      <c r="AG24" s="18"/>
      <c r="AH24" s="70">
        <f t="shared" si="30"/>
        <v>901.5151515151515</v>
      </c>
      <c r="AI24" s="9">
        <v>-2000</v>
      </c>
      <c r="AJ24" s="18"/>
      <c r="AK24" s="19">
        <f t="shared" si="31"/>
        <v>-2000</v>
      </c>
      <c r="AL24" s="21">
        <f>INDEX('04_06_OMRI-2000'!$B25:$B414,MATCH($A24,'04_06_OMRI-2000'!$A25:$A414,0))/1.98</f>
        <v>601.01010101010104</v>
      </c>
      <c r="AM24" s="18"/>
      <c r="AN24" s="68">
        <f t="shared" si="32"/>
        <v>601.01010101010104</v>
      </c>
      <c r="AO24" s="73">
        <f>INDEX('04_06_OMRI-2000'!$C25:$C414,MATCH($A24,'04_06_OMRI-2000'!$A25:$A414,0))/1.98</f>
        <v>901.5151515151515</v>
      </c>
      <c r="AP24" s="18"/>
      <c r="AQ24" s="70">
        <f t="shared" si="33"/>
        <v>901.5151515151515</v>
      </c>
      <c r="AS24" s="12">
        <f t="shared" si="14"/>
        <v>0.6</v>
      </c>
      <c r="AT24" s="12">
        <f t="shared" si="15"/>
        <v>0.6</v>
      </c>
      <c r="AU24" s="12">
        <f t="shared" si="17"/>
        <v>0.6</v>
      </c>
      <c r="AV24" s="12">
        <f t="shared" si="18"/>
        <v>0.6</v>
      </c>
    </row>
    <row r="25" spans="1:48" ht="14.4" x14ac:dyDescent="0.3">
      <c r="K25" s="1">
        <f>AVERAGE(K3:K24)</f>
        <v>601.01010101010081</v>
      </c>
      <c r="N25" s="1">
        <f>AVERAGE(N3:N24)</f>
        <v>1771.2809917355378</v>
      </c>
      <c r="T25" s="1">
        <f>AVERAGE(T3:T24)</f>
        <v>601.01010101010081</v>
      </c>
      <c r="W25" s="1">
        <f>AVERAGE(W3:W24)</f>
        <v>1611.8457300275486</v>
      </c>
      <c r="AC25" s="1">
        <f>AVERAGE(AC3:AC24)</f>
        <v>601.01010101010081</v>
      </c>
      <c r="AF25" s="1">
        <f>AVERAGE(AF3:AF24)</f>
        <v>1429.6831955922867</v>
      </c>
      <c r="AL25" s="1">
        <f>AVERAGE(AL3:AL24)</f>
        <v>601.01010101010081</v>
      </c>
      <c r="AO25" s="1">
        <f>AVERAGE(AO3:AO24)</f>
        <v>1224.7933884297524</v>
      </c>
      <c r="AS25" s="12"/>
    </row>
    <row r="27" spans="1:48" x14ac:dyDescent="0.25">
      <c r="E27" s="2" t="s">
        <v>8</v>
      </c>
    </row>
    <row r="28" spans="1:48" ht="12.6" customHeight="1" x14ac:dyDescent="0.25">
      <c r="S28" s="82"/>
      <c r="T28" s="82"/>
      <c r="U28" s="82"/>
      <c r="V28" s="82"/>
      <c r="W28" s="82"/>
      <c r="X28" s="82"/>
      <c r="Y28" s="82"/>
      <c r="Z28" s="82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(04/07/2026 - 04/13/2026)</v>
      </c>
      <c r="T35" s="44">
        <f>AVERAGE(B3:B9)</f>
        <v>14424.571428571429</v>
      </c>
      <c r="U35" s="45" t="str">
        <f>IF(T35&lt;=$AB$35,$AC$35,IF(T35&gt;=$AB$37,$AC$37,$AC$36))</f>
        <v>med</v>
      </c>
      <c r="V35" s="44">
        <f>AVERAGE(E3:E9)</f>
        <v>2530</v>
      </c>
      <c r="W35" s="45" t="str">
        <f>IF(V35&lt;=$AD$35,$AC$35,IF(V35&gt;=$AD$37,$AC$37,$AC$36))</f>
        <v>med</v>
      </c>
      <c r="X35" s="43" t="str">
        <f>_xlfn.CONCAT(U35,W35)</f>
        <v>medmed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(04/14/2026 - 04/20/2026)</v>
      </c>
      <c r="T36" s="44">
        <f>AVERAGE(B10:B16)</f>
        <v>14937.571428571429</v>
      </c>
      <c r="U36" s="45" t="str">
        <f>IF(T36&lt;=$AB$35,$AC$35,IF(T36&gt;=$AB$37,$AC$37,$AC$36))</f>
        <v>med</v>
      </c>
      <c r="V36" s="44">
        <f>AVERAGE(E10:E16)</f>
        <v>2242.8571428571427</v>
      </c>
      <c r="W36" s="45" t="str">
        <f>IF(V36&lt;=$AD$35,$AC$35,IF(V36&gt;=$AD$37,$AC$37,$AC$36))</f>
        <v>med</v>
      </c>
      <c r="X36" s="43" t="str">
        <f>_xlfn.CONCAT(U36,W36)</f>
        <v>medmed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(04/21/2026 - 04/27/2026)</v>
      </c>
      <c r="T37" s="44">
        <f>AVERAGE(B18:B24)</f>
        <v>13000</v>
      </c>
      <c r="U37" s="45" t="str">
        <f>IF(T37&lt;=$AB$35,$AC$35,IF(T37&gt;=$AB$37,$AC$37,$AC$36))</f>
        <v>lo</v>
      </c>
      <c r="V37" s="44">
        <f>AVERAGE(E18:E24)</f>
        <v>2200</v>
      </c>
      <c r="W37" s="45" t="str">
        <f>IF(V37&lt;=$AD$35,$AC$35,IF(V37&gt;=$AD$37,$AC$37,$AC$36))</f>
        <v>med</v>
      </c>
      <c r="X37" s="43" t="str">
        <f>_xlfn.CONCAT(U37,W37)</f>
        <v>lomed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6" t="s">
        <v>16</v>
      </c>
      <c r="T42" s="28">
        <f>H3</f>
        <v>-6500</v>
      </c>
      <c r="U42" s="29">
        <f>AVERAGE(N3:N9)</f>
        <v>3635.064935064936</v>
      </c>
      <c r="V42" s="29">
        <f>AVERAGE(K3:K9)</f>
        <v>601.01010101010104</v>
      </c>
      <c r="W42" s="29">
        <f>V42+U42</f>
        <v>4236.0750360750371</v>
      </c>
      <c r="X42" s="30">
        <f>U42/(U42+V42)</f>
        <v>0.85812099741109138</v>
      </c>
      <c r="Y42" s="31">
        <f>V42/(V42+U42)</f>
        <v>0.14187900258890854</v>
      </c>
      <c r="Z42" s="32"/>
    </row>
    <row r="43" spans="18:30" ht="13.8" thickBot="1" x14ac:dyDescent="0.3">
      <c r="S43" s="77"/>
      <c r="T43" s="28">
        <v>-5000</v>
      </c>
      <c r="U43" s="29">
        <f>AVERAGE(W3:W9)</f>
        <v>3133.9826839826846</v>
      </c>
      <c r="V43" s="29">
        <f>AVERAGE(T3:T9)</f>
        <v>601.01010101010104</v>
      </c>
      <c r="W43" s="29">
        <f t="shared" ref="W43:W53" si="34">V43+U43</f>
        <v>3734.9927849927858</v>
      </c>
      <c r="X43" s="30">
        <f t="shared" ref="X43:X53" si="35">U43/(U43+V43)</f>
        <v>0.83908667684045823</v>
      </c>
      <c r="Y43" s="31">
        <f t="shared" ref="Y43:Y53" si="36">V43/(V43+U43)</f>
        <v>0.16091332315954177</v>
      </c>
      <c r="Z43" s="32"/>
    </row>
    <row r="44" spans="18:30" ht="13.8" thickBot="1" x14ac:dyDescent="0.3">
      <c r="S44" s="77"/>
      <c r="T44" s="28">
        <v>-3250</v>
      </c>
      <c r="U44" s="29">
        <f>AVERAGE(AF3:AF9)</f>
        <v>2561.4718614718613</v>
      </c>
      <c r="V44" s="29">
        <f>AVERAGE(AC3:AC9)</f>
        <v>601.01010101010104</v>
      </c>
      <c r="W44" s="29">
        <f t="shared" si="34"/>
        <v>3162.4819624819625</v>
      </c>
      <c r="X44" s="30">
        <f t="shared" si="35"/>
        <v>0.80995619638620187</v>
      </c>
      <c r="Y44" s="31">
        <f t="shared" si="36"/>
        <v>0.19004380361379816</v>
      </c>
      <c r="Z44" s="32"/>
    </row>
    <row r="45" spans="18:30" ht="13.8" thickBot="1" x14ac:dyDescent="0.3">
      <c r="S45" s="78"/>
      <c r="T45" s="28">
        <v>-2000</v>
      </c>
      <c r="U45" s="29">
        <f>AVERAGE(AO3:AO9)</f>
        <v>1917.532467532468</v>
      </c>
      <c r="V45" s="29">
        <f>AVERAGE(AL3:AL9)</f>
        <v>601.01010101010104</v>
      </c>
      <c r="W45" s="29">
        <f t="shared" si="34"/>
        <v>2518.5425685425689</v>
      </c>
      <c r="X45" s="30">
        <f t="shared" si="35"/>
        <v>0.7613659151459593</v>
      </c>
      <c r="Y45" s="31">
        <f t="shared" si="36"/>
        <v>0.23863408485404072</v>
      </c>
      <c r="Z45" s="32"/>
    </row>
    <row r="46" spans="18:30" ht="13.8" thickBot="1" x14ac:dyDescent="0.3">
      <c r="S46" s="76" t="s">
        <v>17</v>
      </c>
      <c r="T46" s="28">
        <f>T42</f>
        <v>-6500</v>
      </c>
      <c r="U46" s="29">
        <f>AVERAGE(N10:N16)</f>
        <v>901.51515151515173</v>
      </c>
      <c r="V46" s="29">
        <f>AVERAGE(K10:K16)</f>
        <v>601.01010101010104</v>
      </c>
      <c r="W46" s="29">
        <f t="shared" si="34"/>
        <v>1502.5252525252527</v>
      </c>
      <c r="X46" s="30">
        <f t="shared" si="35"/>
        <v>0.60000000000000009</v>
      </c>
      <c r="Y46" s="31">
        <f t="shared" si="36"/>
        <v>0.39999999999999997</v>
      </c>
      <c r="Z46" s="32"/>
    </row>
    <row r="47" spans="18:30" ht="13.8" thickBot="1" x14ac:dyDescent="0.3">
      <c r="S47" s="77"/>
      <c r="T47" s="28">
        <v>-5000</v>
      </c>
      <c r="U47" s="29">
        <f>AVERAGE(W10:W16)</f>
        <v>901.51515151515173</v>
      </c>
      <c r="V47" s="29">
        <f>AVERAGE(T10:T16)</f>
        <v>601.01010101010104</v>
      </c>
      <c r="W47" s="29">
        <f t="shared" si="34"/>
        <v>1502.5252525252527</v>
      </c>
      <c r="X47" s="30">
        <f t="shared" si="35"/>
        <v>0.60000000000000009</v>
      </c>
      <c r="Y47" s="31">
        <f t="shared" si="36"/>
        <v>0.39999999999999997</v>
      </c>
      <c r="Z47" s="32"/>
    </row>
    <row r="48" spans="18:30" ht="13.8" thickBot="1" x14ac:dyDescent="0.3">
      <c r="S48" s="77"/>
      <c r="T48" s="28">
        <v>-3250</v>
      </c>
      <c r="U48" s="29">
        <f>AVERAGE(AF10:AF16)</f>
        <v>901.51515151515173</v>
      </c>
      <c r="V48" s="29">
        <f>AVERAGE(AC10:AC16)</f>
        <v>601.01010101010104</v>
      </c>
      <c r="W48" s="29">
        <f t="shared" si="34"/>
        <v>1502.5252525252527</v>
      </c>
      <c r="X48" s="30">
        <f t="shared" si="35"/>
        <v>0.60000000000000009</v>
      </c>
      <c r="Y48" s="31">
        <f t="shared" si="36"/>
        <v>0.39999999999999997</v>
      </c>
      <c r="Z48" s="32"/>
    </row>
    <row r="49" spans="19:26" ht="13.8" thickBot="1" x14ac:dyDescent="0.3">
      <c r="S49" s="78"/>
      <c r="T49" s="28">
        <v>-2000</v>
      </c>
      <c r="U49" s="29">
        <f>AVERAGE(AO10:AO16)</f>
        <v>901.51515151515173</v>
      </c>
      <c r="V49" s="29">
        <f>AVERAGE(AL10:AL16)</f>
        <v>601.01010101010104</v>
      </c>
      <c r="W49" s="29">
        <f t="shared" si="34"/>
        <v>1502.5252525252527</v>
      </c>
      <c r="X49" s="30">
        <f t="shared" si="35"/>
        <v>0.60000000000000009</v>
      </c>
      <c r="Y49" s="31">
        <f t="shared" si="36"/>
        <v>0.39999999999999997</v>
      </c>
      <c r="Z49" s="32"/>
    </row>
    <row r="50" spans="19:26" ht="13.8" thickBot="1" x14ac:dyDescent="0.3">
      <c r="S50" s="76" t="s">
        <v>18</v>
      </c>
      <c r="T50" s="28">
        <f>T46</f>
        <v>-6500</v>
      </c>
      <c r="U50" s="29">
        <f>AVERAGE(N18:N24)</f>
        <v>901.51515151515173</v>
      </c>
      <c r="V50" s="29">
        <f>AVERAGE(K18:K24)</f>
        <v>601.01010101010104</v>
      </c>
      <c r="W50" s="29">
        <f t="shared" si="34"/>
        <v>1502.5252525252527</v>
      </c>
      <c r="X50" s="30">
        <f t="shared" si="35"/>
        <v>0.60000000000000009</v>
      </c>
      <c r="Y50" s="31">
        <f t="shared" si="36"/>
        <v>0.39999999999999997</v>
      </c>
      <c r="Z50" s="32"/>
    </row>
    <row r="51" spans="19:26" ht="13.8" thickBot="1" x14ac:dyDescent="0.3">
      <c r="S51" s="77"/>
      <c r="T51" s="28">
        <v>-5000</v>
      </c>
      <c r="U51" s="29">
        <f>AVERAGE(W18:W24)</f>
        <v>901.51515151515173</v>
      </c>
      <c r="V51" s="29">
        <f>AVERAGE(T18:T24)</f>
        <v>601.01010101010104</v>
      </c>
      <c r="W51" s="29">
        <f t="shared" si="34"/>
        <v>1502.5252525252527</v>
      </c>
      <c r="X51" s="30">
        <f t="shared" si="35"/>
        <v>0.60000000000000009</v>
      </c>
      <c r="Y51" s="31">
        <f t="shared" si="36"/>
        <v>0.39999999999999997</v>
      </c>
      <c r="Z51" s="32"/>
    </row>
    <row r="52" spans="19:26" ht="13.8" thickBot="1" x14ac:dyDescent="0.3">
      <c r="S52" s="77"/>
      <c r="T52" s="28">
        <v>-3250</v>
      </c>
      <c r="U52" s="29">
        <f>AVERAGE(AF18:AF24)</f>
        <v>901.51515151515173</v>
      </c>
      <c r="V52" s="29">
        <f>AVERAGE(AC18:AC24)</f>
        <v>601.01010101010104</v>
      </c>
      <c r="W52" s="29">
        <f t="shared" si="34"/>
        <v>1502.5252525252527</v>
      </c>
      <c r="X52" s="30">
        <f t="shared" si="35"/>
        <v>0.60000000000000009</v>
      </c>
      <c r="Y52" s="31">
        <f t="shared" si="36"/>
        <v>0.39999999999999997</v>
      </c>
      <c r="Z52" s="32"/>
    </row>
    <row r="53" spans="19:26" ht="13.8" thickBot="1" x14ac:dyDescent="0.3">
      <c r="S53" s="78"/>
      <c r="T53" s="28">
        <v>-2000</v>
      </c>
      <c r="U53" s="29">
        <f>AVERAGE(AO18:AO24)</f>
        <v>901.51515151515173</v>
      </c>
      <c r="V53" s="29">
        <f>AVERAGE(AL18:AL24)</f>
        <v>601.01010101010104</v>
      </c>
      <c r="W53" s="29">
        <f t="shared" si="34"/>
        <v>1502.5252525252527</v>
      </c>
      <c r="X53" s="30">
        <f t="shared" si="35"/>
        <v>0.60000000000000009</v>
      </c>
      <c r="Y53" s="31">
        <f t="shared" si="36"/>
        <v>0.39999999999999997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58"/>
  <sheetViews>
    <sheetView zoomScale="140" zoomScaleNormal="14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F63" sqref="F63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46087</v>
      </c>
      <c r="B4">
        <v>8329</v>
      </c>
      <c r="C4">
        <v>8351</v>
      </c>
      <c r="D4">
        <v>6106</v>
      </c>
      <c r="E4">
        <v>50104</v>
      </c>
      <c r="F4">
        <v>104</v>
      </c>
      <c r="G4">
        <v>359</v>
      </c>
      <c r="H4">
        <v>1365</v>
      </c>
      <c r="I4">
        <v>0</v>
      </c>
      <c r="J4">
        <v>0</v>
      </c>
      <c r="K4" t="s">
        <v>36</v>
      </c>
    </row>
    <row r="5" spans="1:13" x14ac:dyDescent="0.3">
      <c r="A5" s="34">
        <v>46088</v>
      </c>
      <c r="B5">
        <v>8121</v>
      </c>
      <c r="C5">
        <v>8367</v>
      </c>
      <c r="D5">
        <v>5683</v>
      </c>
      <c r="E5">
        <v>46516</v>
      </c>
      <c r="F5">
        <v>105</v>
      </c>
      <c r="G5">
        <v>352</v>
      </c>
      <c r="H5">
        <v>1207</v>
      </c>
      <c r="I5">
        <v>0</v>
      </c>
      <c r="J5">
        <v>0</v>
      </c>
      <c r="K5" t="s">
        <v>36</v>
      </c>
    </row>
    <row r="6" spans="1:13" x14ac:dyDescent="0.3">
      <c r="A6" s="34">
        <v>46089</v>
      </c>
      <c r="B6">
        <v>7409</v>
      </c>
      <c r="C6">
        <v>8024</v>
      </c>
      <c r="D6">
        <v>5345</v>
      </c>
      <c r="E6">
        <v>43272</v>
      </c>
      <c r="F6">
        <v>112</v>
      </c>
      <c r="G6">
        <v>353</v>
      </c>
      <c r="H6">
        <v>1108</v>
      </c>
      <c r="I6">
        <v>0</v>
      </c>
      <c r="J6">
        <v>0</v>
      </c>
      <c r="K6" t="s">
        <v>36</v>
      </c>
    </row>
    <row r="7" spans="1:13" x14ac:dyDescent="0.3">
      <c r="A7" s="34">
        <v>46090</v>
      </c>
      <c r="B7">
        <v>7120</v>
      </c>
      <c r="C7">
        <v>8399</v>
      </c>
      <c r="D7">
        <v>5186</v>
      </c>
      <c r="E7">
        <v>40656</v>
      </c>
      <c r="F7">
        <v>114</v>
      </c>
      <c r="G7">
        <v>357</v>
      </c>
      <c r="H7">
        <v>1065</v>
      </c>
      <c r="I7">
        <v>0</v>
      </c>
      <c r="J7">
        <v>0</v>
      </c>
      <c r="K7" t="s">
        <v>36</v>
      </c>
    </row>
    <row r="8" spans="1:13" x14ac:dyDescent="0.3">
      <c r="A8" s="34">
        <v>46091</v>
      </c>
      <c r="B8">
        <v>7321</v>
      </c>
      <c r="C8">
        <v>8397</v>
      </c>
      <c r="D8">
        <v>5019</v>
      </c>
      <c r="E8">
        <v>39212</v>
      </c>
      <c r="F8">
        <v>78</v>
      </c>
      <c r="G8">
        <v>342</v>
      </c>
      <c r="H8">
        <v>1011</v>
      </c>
      <c r="I8">
        <v>0</v>
      </c>
      <c r="J8">
        <v>0</v>
      </c>
      <c r="K8" t="s">
        <v>36</v>
      </c>
    </row>
    <row r="9" spans="1:13" x14ac:dyDescent="0.3">
      <c r="A9" s="34">
        <v>46092</v>
      </c>
      <c r="B9">
        <v>6928</v>
      </c>
      <c r="C9">
        <v>8361</v>
      </c>
      <c r="D9">
        <v>4919</v>
      </c>
      <c r="E9">
        <v>37076</v>
      </c>
      <c r="F9">
        <v>54</v>
      </c>
      <c r="G9">
        <v>342</v>
      </c>
      <c r="H9">
        <v>949</v>
      </c>
      <c r="I9">
        <v>0</v>
      </c>
      <c r="J9">
        <v>0</v>
      </c>
      <c r="K9" t="s">
        <v>36</v>
      </c>
    </row>
    <row r="10" spans="1:13" x14ac:dyDescent="0.3">
      <c r="A10" s="34">
        <v>46093</v>
      </c>
      <c r="B10">
        <v>6942</v>
      </c>
      <c r="C10">
        <v>8353</v>
      </c>
      <c r="D10">
        <v>4792</v>
      </c>
      <c r="E10">
        <v>34136</v>
      </c>
      <c r="F10">
        <v>50</v>
      </c>
      <c r="G10">
        <v>331</v>
      </c>
      <c r="H10">
        <v>881</v>
      </c>
      <c r="I10">
        <v>0</v>
      </c>
      <c r="J10">
        <v>0</v>
      </c>
      <c r="K10" t="s">
        <v>36</v>
      </c>
    </row>
    <row r="11" spans="1:13" x14ac:dyDescent="0.3">
      <c r="A11" s="34">
        <v>46094</v>
      </c>
      <c r="B11">
        <v>6740</v>
      </c>
      <c r="C11">
        <v>8370</v>
      </c>
      <c r="D11">
        <v>4728</v>
      </c>
      <c r="E11">
        <v>30884</v>
      </c>
      <c r="F11">
        <v>54</v>
      </c>
      <c r="G11">
        <v>335</v>
      </c>
      <c r="H11">
        <v>839</v>
      </c>
      <c r="I11">
        <v>0</v>
      </c>
      <c r="J11">
        <v>0</v>
      </c>
      <c r="K11" t="s">
        <v>36</v>
      </c>
    </row>
    <row r="12" spans="1:13" x14ac:dyDescent="0.3">
      <c r="A12" s="34">
        <v>46095</v>
      </c>
      <c r="B12">
        <v>6528</v>
      </c>
      <c r="C12">
        <v>8378</v>
      </c>
      <c r="D12">
        <v>4813</v>
      </c>
      <c r="E12">
        <v>28720</v>
      </c>
      <c r="F12">
        <v>60</v>
      </c>
      <c r="G12">
        <v>330</v>
      </c>
      <c r="H12">
        <v>800</v>
      </c>
      <c r="I12">
        <v>0</v>
      </c>
      <c r="J12">
        <v>0</v>
      </c>
      <c r="K12" t="s">
        <v>36</v>
      </c>
    </row>
    <row r="13" spans="1:13" x14ac:dyDescent="0.3">
      <c r="A13" s="34">
        <v>46096</v>
      </c>
      <c r="B13">
        <v>6536</v>
      </c>
      <c r="C13">
        <v>8359</v>
      </c>
      <c r="D13">
        <v>4885</v>
      </c>
      <c r="E13">
        <v>27508</v>
      </c>
      <c r="F13">
        <v>63</v>
      </c>
      <c r="G13">
        <v>294</v>
      </c>
      <c r="H13">
        <v>755</v>
      </c>
      <c r="I13">
        <v>0</v>
      </c>
      <c r="J13">
        <v>0</v>
      </c>
      <c r="K13" t="s">
        <v>36</v>
      </c>
    </row>
    <row r="14" spans="1:13" x14ac:dyDescent="0.3">
      <c r="A14" s="34">
        <v>46097</v>
      </c>
      <c r="B14">
        <v>6005</v>
      </c>
      <c r="C14">
        <v>8343</v>
      </c>
      <c r="D14">
        <v>4883</v>
      </c>
      <c r="E14">
        <v>26652</v>
      </c>
      <c r="F14">
        <v>58</v>
      </c>
      <c r="G14">
        <v>236</v>
      </c>
      <c r="H14">
        <v>723</v>
      </c>
      <c r="I14">
        <v>0</v>
      </c>
      <c r="J14">
        <v>0</v>
      </c>
      <c r="K14" t="s">
        <v>36</v>
      </c>
    </row>
    <row r="15" spans="1:13" x14ac:dyDescent="0.3">
      <c r="A15" s="34">
        <v>46098</v>
      </c>
      <c r="B15">
        <v>6736</v>
      </c>
      <c r="C15">
        <v>8358</v>
      </c>
      <c r="D15">
        <v>4741</v>
      </c>
      <c r="E15">
        <v>25584</v>
      </c>
      <c r="F15">
        <v>63</v>
      </c>
      <c r="G15">
        <v>226</v>
      </c>
      <c r="H15">
        <v>708</v>
      </c>
      <c r="I15">
        <v>0</v>
      </c>
      <c r="J15">
        <v>0</v>
      </c>
      <c r="K15" t="s">
        <v>36</v>
      </c>
    </row>
    <row r="16" spans="1:13" x14ac:dyDescent="0.3">
      <c r="A16" s="34">
        <v>46099</v>
      </c>
      <c r="B16">
        <v>6538</v>
      </c>
      <c r="C16">
        <v>8343</v>
      </c>
      <c r="D16">
        <v>4593</v>
      </c>
      <c r="E16">
        <v>24200</v>
      </c>
      <c r="F16">
        <v>58</v>
      </c>
      <c r="G16">
        <v>227</v>
      </c>
      <c r="H16">
        <v>651</v>
      </c>
      <c r="I16">
        <v>0</v>
      </c>
      <c r="J16">
        <v>0</v>
      </c>
      <c r="K16" t="s">
        <v>36</v>
      </c>
    </row>
    <row r="17" spans="1:11" x14ac:dyDescent="0.3">
      <c r="A17" s="34">
        <v>46100</v>
      </c>
      <c r="B17">
        <v>585</v>
      </c>
      <c r="C17">
        <v>1677</v>
      </c>
      <c r="D17">
        <v>4214</v>
      </c>
      <c r="E17">
        <v>22556</v>
      </c>
      <c r="F17">
        <v>62</v>
      </c>
      <c r="G17">
        <v>226</v>
      </c>
      <c r="H17">
        <v>620</v>
      </c>
      <c r="I17">
        <v>0</v>
      </c>
      <c r="J17">
        <v>0</v>
      </c>
      <c r="K17" t="s">
        <v>36</v>
      </c>
    </row>
    <row r="18" spans="1:11" x14ac:dyDescent="0.3">
      <c r="A18" s="34">
        <v>46101</v>
      </c>
      <c r="B18">
        <v>6130</v>
      </c>
      <c r="C18">
        <v>8314</v>
      </c>
      <c r="D18">
        <v>3852</v>
      </c>
      <c r="E18">
        <v>21624</v>
      </c>
      <c r="F18">
        <v>63</v>
      </c>
      <c r="G18">
        <v>210</v>
      </c>
      <c r="H18">
        <v>607</v>
      </c>
      <c r="I18">
        <v>0</v>
      </c>
      <c r="J18">
        <v>0</v>
      </c>
      <c r="K18" t="s">
        <v>36</v>
      </c>
    </row>
    <row r="19" spans="1:11" x14ac:dyDescent="0.3">
      <c r="A19" s="34">
        <v>46102</v>
      </c>
      <c r="B19">
        <v>5729</v>
      </c>
      <c r="C19">
        <v>8362</v>
      </c>
      <c r="D19">
        <v>3562</v>
      </c>
      <c r="E19">
        <v>20584</v>
      </c>
      <c r="F19">
        <v>66</v>
      </c>
      <c r="G19">
        <v>205</v>
      </c>
      <c r="H19">
        <v>563</v>
      </c>
      <c r="I19">
        <v>0</v>
      </c>
      <c r="J19">
        <v>0</v>
      </c>
      <c r="K19" t="s">
        <v>36</v>
      </c>
    </row>
    <row r="20" spans="1:11" x14ac:dyDescent="0.3">
      <c r="A20" s="34">
        <v>46103</v>
      </c>
      <c r="B20">
        <v>5351</v>
      </c>
      <c r="C20">
        <v>8380</v>
      </c>
      <c r="D20">
        <v>3325</v>
      </c>
      <c r="E20">
        <v>19808</v>
      </c>
      <c r="F20">
        <v>62</v>
      </c>
      <c r="G20">
        <v>202</v>
      </c>
      <c r="H20">
        <v>553</v>
      </c>
      <c r="I20">
        <v>0</v>
      </c>
      <c r="J20">
        <v>0</v>
      </c>
      <c r="K20" t="s">
        <v>36</v>
      </c>
    </row>
    <row r="21" spans="1:11" x14ac:dyDescent="0.3">
      <c r="A21" s="34">
        <v>46104</v>
      </c>
      <c r="B21">
        <v>4954</v>
      </c>
      <c r="C21">
        <v>8381</v>
      </c>
      <c r="D21">
        <v>3057</v>
      </c>
      <c r="E21">
        <v>19100</v>
      </c>
      <c r="F21">
        <v>66</v>
      </c>
      <c r="G21">
        <v>199</v>
      </c>
      <c r="H21">
        <v>534</v>
      </c>
      <c r="I21">
        <v>0</v>
      </c>
      <c r="J21">
        <v>0</v>
      </c>
      <c r="K21" t="s">
        <v>36</v>
      </c>
    </row>
    <row r="22" spans="1:11" x14ac:dyDescent="0.3">
      <c r="A22" s="34">
        <v>46105</v>
      </c>
      <c r="B22">
        <v>6346</v>
      </c>
      <c r="C22">
        <v>6929</v>
      </c>
      <c r="D22">
        <v>2683</v>
      </c>
      <c r="E22">
        <v>18400</v>
      </c>
      <c r="F22">
        <v>61</v>
      </c>
      <c r="G22">
        <v>182</v>
      </c>
      <c r="H22">
        <v>500</v>
      </c>
      <c r="I22">
        <v>0</v>
      </c>
      <c r="J22">
        <v>0</v>
      </c>
      <c r="K22" t="s">
        <v>36</v>
      </c>
    </row>
    <row r="23" spans="1:11" x14ac:dyDescent="0.3">
      <c r="A23" s="34">
        <v>46106</v>
      </c>
      <c r="B23">
        <v>5750</v>
      </c>
      <c r="C23">
        <v>6975</v>
      </c>
      <c r="D23">
        <v>2398</v>
      </c>
      <c r="E23">
        <v>17108</v>
      </c>
      <c r="F23">
        <v>40</v>
      </c>
      <c r="G23">
        <v>193</v>
      </c>
      <c r="H23">
        <v>471</v>
      </c>
      <c r="I23">
        <v>0</v>
      </c>
      <c r="J23">
        <v>0</v>
      </c>
      <c r="K23" t="s">
        <v>36</v>
      </c>
    </row>
    <row r="24" spans="1:11" x14ac:dyDescent="0.3">
      <c r="A24" s="34">
        <v>46107</v>
      </c>
      <c r="B24">
        <v>5542</v>
      </c>
      <c r="C24">
        <v>6991</v>
      </c>
      <c r="D24">
        <v>2186</v>
      </c>
      <c r="E24">
        <v>15672</v>
      </c>
      <c r="F24">
        <v>53</v>
      </c>
      <c r="G24">
        <v>197</v>
      </c>
      <c r="H24">
        <v>452</v>
      </c>
      <c r="I24">
        <v>0</v>
      </c>
      <c r="J24">
        <v>0</v>
      </c>
      <c r="K24" t="s">
        <v>36</v>
      </c>
    </row>
    <row r="25" spans="1:11" x14ac:dyDescent="0.3">
      <c r="A25" s="34">
        <v>46108</v>
      </c>
      <c r="B25">
        <v>5152</v>
      </c>
      <c r="C25">
        <v>6972</v>
      </c>
      <c r="D25">
        <v>2038</v>
      </c>
      <c r="E25">
        <v>14064</v>
      </c>
      <c r="F25">
        <v>74</v>
      </c>
      <c r="G25">
        <v>189</v>
      </c>
      <c r="H25">
        <v>425</v>
      </c>
      <c r="I25">
        <v>0</v>
      </c>
      <c r="J25">
        <v>0</v>
      </c>
      <c r="K25" t="s">
        <v>36</v>
      </c>
    </row>
    <row r="26" spans="1:11" x14ac:dyDescent="0.3">
      <c r="A26" s="34">
        <v>46109</v>
      </c>
      <c r="B26">
        <v>4938</v>
      </c>
      <c r="C26">
        <v>6986</v>
      </c>
      <c r="D26">
        <v>1974</v>
      </c>
      <c r="E26">
        <v>13236</v>
      </c>
      <c r="F26">
        <v>57</v>
      </c>
      <c r="G26">
        <v>195</v>
      </c>
      <c r="H26">
        <v>399</v>
      </c>
      <c r="I26">
        <v>0</v>
      </c>
      <c r="J26">
        <v>0</v>
      </c>
      <c r="K26" t="s">
        <v>36</v>
      </c>
    </row>
    <row r="27" spans="1:11" x14ac:dyDescent="0.3">
      <c r="A27" s="34">
        <v>46110</v>
      </c>
      <c r="B27">
        <v>4730</v>
      </c>
      <c r="C27">
        <v>6973</v>
      </c>
      <c r="D27">
        <v>1948</v>
      </c>
      <c r="E27">
        <v>13036</v>
      </c>
      <c r="F27">
        <v>49</v>
      </c>
      <c r="G27">
        <v>194</v>
      </c>
      <c r="H27">
        <v>373</v>
      </c>
      <c r="I27">
        <v>0</v>
      </c>
      <c r="J27">
        <v>0</v>
      </c>
      <c r="K27" t="s">
        <v>36</v>
      </c>
    </row>
    <row r="28" spans="1:11" x14ac:dyDescent="0.3">
      <c r="A28" s="34">
        <v>46111</v>
      </c>
      <c r="B28">
        <v>4712</v>
      </c>
      <c r="C28">
        <v>6967</v>
      </c>
      <c r="D28">
        <v>1848</v>
      </c>
      <c r="E28">
        <v>12777</v>
      </c>
      <c r="F28">
        <v>40</v>
      </c>
      <c r="G28">
        <v>188</v>
      </c>
      <c r="H28">
        <v>359</v>
      </c>
      <c r="I28">
        <v>0</v>
      </c>
      <c r="J28">
        <v>0</v>
      </c>
      <c r="K28" t="s">
        <v>36</v>
      </c>
    </row>
    <row r="29" spans="1:11" x14ac:dyDescent="0.3">
      <c r="A29" s="34">
        <v>46112</v>
      </c>
      <c r="B29">
        <v>4732</v>
      </c>
      <c r="C29">
        <v>6980</v>
      </c>
      <c r="D29">
        <v>1861</v>
      </c>
      <c r="E29">
        <v>12424</v>
      </c>
      <c r="F29">
        <v>40</v>
      </c>
      <c r="G29">
        <v>199</v>
      </c>
      <c r="H29">
        <v>354</v>
      </c>
      <c r="I29">
        <v>0</v>
      </c>
      <c r="J29">
        <v>0</v>
      </c>
      <c r="K29" t="s">
        <v>36</v>
      </c>
    </row>
    <row r="30" spans="1:11" x14ac:dyDescent="0.3">
      <c r="A30" s="34">
        <v>46113</v>
      </c>
      <c r="B30">
        <v>1190</v>
      </c>
      <c r="C30">
        <v>6988</v>
      </c>
      <c r="D30">
        <v>2095</v>
      </c>
      <c r="E30">
        <v>12476</v>
      </c>
      <c r="F30">
        <v>36</v>
      </c>
      <c r="G30">
        <v>205</v>
      </c>
      <c r="H30">
        <v>878</v>
      </c>
      <c r="I30">
        <v>0</v>
      </c>
      <c r="J30">
        <v>0</v>
      </c>
      <c r="K30" t="s">
        <v>36</v>
      </c>
    </row>
    <row r="31" spans="1:11" x14ac:dyDescent="0.3">
      <c r="A31" s="34">
        <v>46114</v>
      </c>
      <c r="B31">
        <v>1183</v>
      </c>
      <c r="C31">
        <v>6829</v>
      </c>
      <c r="D31">
        <v>2163</v>
      </c>
      <c r="E31">
        <v>12985</v>
      </c>
      <c r="F31">
        <v>28</v>
      </c>
      <c r="G31">
        <v>177</v>
      </c>
      <c r="H31">
        <v>1163</v>
      </c>
      <c r="I31">
        <v>0</v>
      </c>
      <c r="J31">
        <v>0</v>
      </c>
      <c r="K31" t="s">
        <v>36</v>
      </c>
    </row>
    <row r="32" spans="1:11" x14ac:dyDescent="0.3">
      <c r="A32" s="34">
        <v>46115</v>
      </c>
      <c r="B32">
        <v>1180</v>
      </c>
      <c r="C32">
        <v>6955</v>
      </c>
      <c r="D32">
        <v>2316</v>
      </c>
      <c r="E32">
        <v>14567</v>
      </c>
      <c r="F32">
        <v>28</v>
      </c>
      <c r="G32">
        <v>187</v>
      </c>
      <c r="H32">
        <v>1176</v>
      </c>
      <c r="I32">
        <v>0</v>
      </c>
      <c r="J32">
        <v>0</v>
      </c>
      <c r="K32" t="s">
        <v>36</v>
      </c>
    </row>
    <row r="33" spans="1:11" x14ac:dyDescent="0.3">
      <c r="A33" s="34">
        <v>46116</v>
      </c>
      <c r="B33">
        <v>1190</v>
      </c>
      <c r="C33">
        <v>6954</v>
      </c>
      <c r="D33">
        <v>2478</v>
      </c>
      <c r="E33">
        <v>15390</v>
      </c>
      <c r="F33">
        <v>29</v>
      </c>
      <c r="G33">
        <v>180</v>
      </c>
      <c r="H33">
        <v>900</v>
      </c>
      <c r="I33">
        <v>0</v>
      </c>
      <c r="J33">
        <v>0</v>
      </c>
      <c r="K33" t="s">
        <v>36</v>
      </c>
    </row>
    <row r="34" spans="1:11" x14ac:dyDescent="0.3">
      <c r="A34" s="34">
        <v>46117</v>
      </c>
      <c r="B34">
        <v>1183</v>
      </c>
      <c r="C34">
        <v>6961</v>
      </c>
      <c r="D34">
        <v>2564</v>
      </c>
      <c r="E34">
        <v>15112</v>
      </c>
      <c r="F34">
        <v>69</v>
      </c>
      <c r="G34">
        <v>179</v>
      </c>
      <c r="H34">
        <v>770</v>
      </c>
      <c r="I34">
        <v>0</v>
      </c>
      <c r="J34">
        <v>0</v>
      </c>
      <c r="K34" t="s">
        <v>36</v>
      </c>
    </row>
    <row r="35" spans="1:11" x14ac:dyDescent="0.3">
      <c r="A35" s="34">
        <v>46118</v>
      </c>
      <c r="B35">
        <v>1190</v>
      </c>
      <c r="C35">
        <v>6942</v>
      </c>
      <c r="D35">
        <v>2645</v>
      </c>
      <c r="E35">
        <v>13917</v>
      </c>
      <c r="F35">
        <v>69</v>
      </c>
      <c r="G35">
        <v>179</v>
      </c>
      <c r="H35">
        <v>675</v>
      </c>
      <c r="I35">
        <v>0</v>
      </c>
      <c r="J35">
        <v>0</v>
      </c>
      <c r="K35" t="s">
        <v>37</v>
      </c>
    </row>
    <row r="36" spans="1:11" x14ac:dyDescent="0.3">
      <c r="A36" s="34">
        <v>46119</v>
      </c>
      <c r="B36">
        <v>1190</v>
      </c>
      <c r="C36">
        <v>6942</v>
      </c>
      <c r="D36">
        <v>2637</v>
      </c>
      <c r="E36">
        <v>13022</v>
      </c>
      <c r="F36">
        <v>69</v>
      </c>
      <c r="G36">
        <v>179</v>
      </c>
      <c r="H36">
        <v>578</v>
      </c>
      <c r="I36">
        <v>0</v>
      </c>
      <c r="J36">
        <v>0</v>
      </c>
      <c r="K36" t="s">
        <v>37</v>
      </c>
    </row>
    <row r="37" spans="1:11" x14ac:dyDescent="0.3">
      <c r="A37" s="34">
        <v>46120</v>
      </c>
      <c r="B37">
        <v>1190</v>
      </c>
      <c r="C37">
        <v>3570</v>
      </c>
      <c r="D37">
        <v>2604</v>
      </c>
      <c r="E37">
        <v>12783</v>
      </c>
      <c r="F37">
        <v>69</v>
      </c>
      <c r="G37">
        <v>179</v>
      </c>
      <c r="H37">
        <v>506</v>
      </c>
      <c r="I37">
        <v>0</v>
      </c>
      <c r="J37">
        <v>0</v>
      </c>
      <c r="K37" t="s">
        <v>37</v>
      </c>
    </row>
    <row r="38" spans="1:11" x14ac:dyDescent="0.3">
      <c r="A38" s="34">
        <v>46121</v>
      </c>
      <c r="B38">
        <v>1190</v>
      </c>
      <c r="C38">
        <v>3570</v>
      </c>
      <c r="D38">
        <v>2572</v>
      </c>
      <c r="E38">
        <v>12865</v>
      </c>
      <c r="F38">
        <v>69</v>
      </c>
      <c r="G38">
        <v>179</v>
      </c>
      <c r="H38">
        <v>456</v>
      </c>
      <c r="I38">
        <v>0</v>
      </c>
      <c r="J38">
        <v>0</v>
      </c>
      <c r="K38" t="s">
        <v>37</v>
      </c>
    </row>
    <row r="39" spans="1:11" x14ac:dyDescent="0.3">
      <c r="A39" s="34">
        <v>46122</v>
      </c>
      <c r="B39">
        <v>1190</v>
      </c>
      <c r="C39">
        <v>3570</v>
      </c>
      <c r="D39">
        <v>2547</v>
      </c>
      <c r="E39">
        <v>13590</v>
      </c>
      <c r="F39">
        <v>69</v>
      </c>
      <c r="G39">
        <v>179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34">
        <v>46123</v>
      </c>
      <c r="B40">
        <v>1190</v>
      </c>
      <c r="C40">
        <v>3570</v>
      </c>
      <c r="D40">
        <v>2500</v>
      </c>
      <c r="E40">
        <v>15314</v>
      </c>
      <c r="F40">
        <v>69</v>
      </c>
      <c r="G40">
        <v>179</v>
      </c>
      <c r="H40">
        <v>510</v>
      </c>
      <c r="I40">
        <v>0</v>
      </c>
      <c r="J40">
        <v>0</v>
      </c>
      <c r="K40" t="s">
        <v>37</v>
      </c>
    </row>
    <row r="41" spans="1:11" x14ac:dyDescent="0.3">
      <c r="A41" s="34">
        <v>46124</v>
      </c>
      <c r="B41">
        <v>1190</v>
      </c>
      <c r="C41">
        <v>3570</v>
      </c>
      <c r="D41">
        <v>2450</v>
      </c>
      <c r="E41">
        <v>16511</v>
      </c>
      <c r="F41">
        <v>69</v>
      </c>
      <c r="G41">
        <v>179</v>
      </c>
      <c r="H41">
        <v>510</v>
      </c>
      <c r="I41">
        <v>0</v>
      </c>
      <c r="J41">
        <v>0</v>
      </c>
      <c r="K41" t="s">
        <v>37</v>
      </c>
    </row>
    <row r="42" spans="1:11" x14ac:dyDescent="0.3">
      <c r="A42" s="34">
        <v>46125</v>
      </c>
      <c r="B42">
        <v>1190</v>
      </c>
      <c r="C42">
        <v>1785</v>
      </c>
      <c r="D42">
        <v>2400</v>
      </c>
      <c r="E42">
        <v>16887</v>
      </c>
      <c r="F42">
        <v>69</v>
      </c>
      <c r="G42">
        <v>179</v>
      </c>
      <c r="H42">
        <v>510</v>
      </c>
      <c r="I42">
        <v>0</v>
      </c>
      <c r="J42">
        <v>0</v>
      </c>
      <c r="K42" t="s">
        <v>37</v>
      </c>
    </row>
    <row r="43" spans="1:11" x14ac:dyDescent="0.3">
      <c r="A43" s="34">
        <v>46126</v>
      </c>
      <c r="B43">
        <v>1190</v>
      </c>
      <c r="C43">
        <v>1785</v>
      </c>
      <c r="D43">
        <v>2350</v>
      </c>
      <c r="E43">
        <v>16858</v>
      </c>
      <c r="F43">
        <v>69</v>
      </c>
      <c r="G43">
        <v>179</v>
      </c>
      <c r="H43">
        <v>510</v>
      </c>
      <c r="I43">
        <v>0</v>
      </c>
      <c r="J43">
        <v>0</v>
      </c>
      <c r="K43" t="s">
        <v>37</v>
      </c>
    </row>
    <row r="44" spans="1:11" x14ac:dyDescent="0.3">
      <c r="A44" s="34">
        <v>46127</v>
      </c>
      <c r="B44">
        <v>1190</v>
      </c>
      <c r="C44">
        <v>1785</v>
      </c>
      <c r="D44">
        <v>2300</v>
      </c>
      <c r="E44">
        <v>16705</v>
      </c>
      <c r="F44">
        <v>69</v>
      </c>
      <c r="G44">
        <v>179</v>
      </c>
      <c r="H44">
        <v>510</v>
      </c>
      <c r="I44">
        <v>0</v>
      </c>
      <c r="J44">
        <v>0</v>
      </c>
      <c r="K44" t="s">
        <v>37</v>
      </c>
    </row>
    <row r="45" spans="1:11" x14ac:dyDescent="0.3">
      <c r="A45" s="34">
        <v>46128</v>
      </c>
      <c r="B45">
        <v>1190</v>
      </c>
      <c r="C45">
        <v>1785</v>
      </c>
      <c r="D45">
        <v>2250</v>
      </c>
      <c r="E45">
        <v>16000</v>
      </c>
      <c r="F45">
        <v>69</v>
      </c>
      <c r="G45">
        <v>179</v>
      </c>
      <c r="H45">
        <v>510</v>
      </c>
      <c r="I45">
        <v>0</v>
      </c>
      <c r="J45">
        <v>0</v>
      </c>
      <c r="K45" t="s">
        <v>37</v>
      </c>
    </row>
    <row r="46" spans="1:11" x14ac:dyDescent="0.3">
      <c r="A46" s="34">
        <v>46129</v>
      </c>
      <c r="B46">
        <v>1190</v>
      </c>
      <c r="C46">
        <v>1785</v>
      </c>
      <c r="D46">
        <v>2200</v>
      </c>
      <c r="E46">
        <v>15000</v>
      </c>
      <c r="F46">
        <v>69</v>
      </c>
      <c r="G46">
        <v>179</v>
      </c>
      <c r="H46">
        <v>510</v>
      </c>
      <c r="I46">
        <v>0</v>
      </c>
      <c r="J46">
        <v>0</v>
      </c>
      <c r="K46" t="s">
        <v>37</v>
      </c>
    </row>
    <row r="47" spans="1:11" x14ac:dyDescent="0.3">
      <c r="A47" s="34">
        <v>46130</v>
      </c>
      <c r="B47">
        <v>1190</v>
      </c>
      <c r="C47">
        <v>1785</v>
      </c>
      <c r="D47">
        <v>2200</v>
      </c>
      <c r="E47">
        <v>14000</v>
      </c>
      <c r="F47">
        <v>69</v>
      </c>
      <c r="G47">
        <v>179</v>
      </c>
      <c r="H47">
        <v>510</v>
      </c>
      <c r="I47">
        <v>0</v>
      </c>
      <c r="J47">
        <v>0</v>
      </c>
      <c r="K47" t="s">
        <v>37</v>
      </c>
    </row>
    <row r="48" spans="1:11" x14ac:dyDescent="0.3">
      <c r="A48" s="34">
        <v>46131</v>
      </c>
      <c r="B48">
        <v>1190</v>
      </c>
      <c r="C48">
        <v>1785</v>
      </c>
      <c r="D48">
        <v>2200</v>
      </c>
      <c r="E48">
        <v>13000</v>
      </c>
      <c r="F48">
        <v>69</v>
      </c>
      <c r="G48">
        <v>179</v>
      </c>
      <c r="H48">
        <v>510</v>
      </c>
      <c r="I48">
        <v>0</v>
      </c>
      <c r="J48">
        <v>0</v>
      </c>
      <c r="K48" t="s">
        <v>37</v>
      </c>
    </row>
    <row r="49" spans="1:11" x14ac:dyDescent="0.3">
      <c r="A49" s="34">
        <v>46132</v>
      </c>
      <c r="B49">
        <v>1190</v>
      </c>
      <c r="C49">
        <v>1785</v>
      </c>
      <c r="D49">
        <v>2200</v>
      </c>
      <c r="E49">
        <v>13000</v>
      </c>
      <c r="F49">
        <v>69</v>
      </c>
      <c r="G49">
        <v>179</v>
      </c>
      <c r="H49">
        <v>510</v>
      </c>
      <c r="I49">
        <v>0</v>
      </c>
      <c r="J49">
        <v>0</v>
      </c>
      <c r="K49" t="s">
        <v>37</v>
      </c>
    </row>
    <row r="50" spans="1:11" x14ac:dyDescent="0.3">
      <c r="A50" s="34">
        <v>46133</v>
      </c>
      <c r="B50">
        <v>1190</v>
      </c>
      <c r="C50">
        <v>1785</v>
      </c>
      <c r="D50">
        <v>2200</v>
      </c>
      <c r="E50">
        <v>13000</v>
      </c>
      <c r="F50">
        <v>69</v>
      </c>
      <c r="G50">
        <v>179</v>
      </c>
      <c r="H50">
        <v>510</v>
      </c>
      <c r="I50">
        <v>0</v>
      </c>
      <c r="J50">
        <v>0</v>
      </c>
      <c r="K50" t="s">
        <v>37</v>
      </c>
    </row>
    <row r="51" spans="1:11" x14ac:dyDescent="0.3">
      <c r="A51" s="34">
        <v>46134</v>
      </c>
      <c r="B51">
        <v>1190</v>
      </c>
      <c r="C51">
        <v>1785</v>
      </c>
      <c r="D51">
        <v>2200</v>
      </c>
      <c r="E51">
        <v>13000</v>
      </c>
      <c r="F51">
        <v>69</v>
      </c>
      <c r="G51">
        <v>179</v>
      </c>
      <c r="H51">
        <v>510</v>
      </c>
      <c r="I51">
        <v>0</v>
      </c>
      <c r="J51">
        <v>0</v>
      </c>
      <c r="K51" t="s">
        <v>37</v>
      </c>
    </row>
    <row r="52" spans="1:11" x14ac:dyDescent="0.3">
      <c r="A52" s="34">
        <v>46135</v>
      </c>
      <c r="B52">
        <v>1190</v>
      </c>
      <c r="C52">
        <v>1785</v>
      </c>
      <c r="D52">
        <v>2200</v>
      </c>
      <c r="E52">
        <v>13000</v>
      </c>
      <c r="F52">
        <v>69</v>
      </c>
      <c r="G52">
        <v>179</v>
      </c>
      <c r="H52">
        <v>510</v>
      </c>
      <c r="I52">
        <v>0</v>
      </c>
      <c r="J52">
        <v>0</v>
      </c>
      <c r="K52" t="s">
        <v>37</v>
      </c>
    </row>
    <row r="53" spans="1:11" x14ac:dyDescent="0.3">
      <c r="A53" s="34">
        <v>46136</v>
      </c>
      <c r="B53">
        <v>1190</v>
      </c>
      <c r="C53">
        <v>1785</v>
      </c>
      <c r="D53">
        <v>2200</v>
      </c>
      <c r="E53">
        <v>13000</v>
      </c>
      <c r="F53">
        <v>69</v>
      </c>
      <c r="G53">
        <v>179</v>
      </c>
      <c r="H53">
        <v>510</v>
      </c>
      <c r="I53">
        <v>0</v>
      </c>
      <c r="J53">
        <v>0</v>
      </c>
      <c r="K53" t="s">
        <v>37</v>
      </c>
    </row>
    <row r="54" spans="1:11" x14ac:dyDescent="0.3">
      <c r="A54" s="34">
        <v>46137</v>
      </c>
      <c r="B54">
        <v>1190</v>
      </c>
      <c r="C54">
        <v>1785</v>
      </c>
      <c r="D54">
        <v>2200</v>
      </c>
      <c r="E54">
        <v>13000</v>
      </c>
      <c r="F54">
        <v>69</v>
      </c>
      <c r="G54">
        <v>179</v>
      </c>
      <c r="H54">
        <v>510</v>
      </c>
      <c r="I54">
        <v>0</v>
      </c>
      <c r="J54">
        <v>0</v>
      </c>
      <c r="K54" t="s">
        <v>37</v>
      </c>
    </row>
    <row r="55" spans="1:11" x14ac:dyDescent="0.3">
      <c r="A55" s="34">
        <v>46138</v>
      </c>
      <c r="B55">
        <v>1190</v>
      </c>
      <c r="C55">
        <v>1785</v>
      </c>
      <c r="D55">
        <v>2200</v>
      </c>
      <c r="E55">
        <v>13000</v>
      </c>
      <c r="F55">
        <v>69</v>
      </c>
      <c r="G55">
        <v>179</v>
      </c>
      <c r="H55">
        <v>510</v>
      </c>
      <c r="I55">
        <v>0</v>
      </c>
      <c r="J55">
        <v>0</v>
      </c>
      <c r="K55" t="s">
        <v>37</v>
      </c>
    </row>
    <row r="56" spans="1:11" x14ac:dyDescent="0.3">
      <c r="A56" s="34">
        <v>46139</v>
      </c>
      <c r="B56">
        <v>1190</v>
      </c>
      <c r="C56">
        <v>1785</v>
      </c>
      <c r="D56">
        <v>2200</v>
      </c>
      <c r="E56">
        <v>13000</v>
      </c>
      <c r="F56">
        <v>69</v>
      </c>
      <c r="G56">
        <v>179</v>
      </c>
      <c r="H56">
        <v>510</v>
      </c>
      <c r="I56">
        <v>0</v>
      </c>
      <c r="J56">
        <v>0</v>
      </c>
      <c r="K56" t="s">
        <v>37</v>
      </c>
    </row>
    <row r="57" spans="1:11" x14ac:dyDescent="0.3">
      <c r="A57" s="34">
        <v>46140</v>
      </c>
      <c r="B57">
        <v>1190</v>
      </c>
      <c r="C57">
        <v>1785</v>
      </c>
      <c r="D57">
        <v>2200</v>
      </c>
      <c r="E57">
        <v>13000</v>
      </c>
      <c r="F57">
        <v>69</v>
      </c>
      <c r="G57">
        <v>179</v>
      </c>
      <c r="H57">
        <v>510</v>
      </c>
      <c r="I57">
        <v>0</v>
      </c>
      <c r="J57">
        <v>0</v>
      </c>
      <c r="K57" t="s">
        <v>37</v>
      </c>
    </row>
    <row r="58" spans="1:11" x14ac:dyDescent="0.3">
      <c r="A58" s="34">
        <v>46141</v>
      </c>
      <c r="B58">
        <v>1190</v>
      </c>
      <c r="C58">
        <v>1785</v>
      </c>
      <c r="D58">
        <v>2200</v>
      </c>
      <c r="E58">
        <v>13000</v>
      </c>
      <c r="F58">
        <v>69</v>
      </c>
      <c r="G58">
        <v>179</v>
      </c>
      <c r="H58">
        <v>510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8"/>
  <sheetViews>
    <sheetView zoomScale="140" zoomScaleNormal="14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E56" sqref="E56"/>
    </sheetView>
  </sheetViews>
  <sheetFormatPr defaultColWidth="13.88671875" defaultRowHeight="14.4" x14ac:dyDescent="0.3"/>
  <cols>
    <col min="1" max="1" width="11.5546875" customWidth="1"/>
    <col min="2" max="11" width="8.88671875"/>
    <col min="12" max="13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46087</v>
      </c>
      <c r="B4">
        <v>8329</v>
      </c>
      <c r="C4">
        <v>8351</v>
      </c>
      <c r="D4">
        <v>6106</v>
      </c>
      <c r="E4">
        <v>50104</v>
      </c>
      <c r="F4">
        <v>104</v>
      </c>
      <c r="G4">
        <v>359</v>
      </c>
      <c r="H4">
        <v>1365</v>
      </c>
      <c r="I4">
        <v>0</v>
      </c>
      <c r="J4">
        <v>0</v>
      </c>
      <c r="K4" t="s">
        <v>36</v>
      </c>
    </row>
    <row r="5" spans="1:13" x14ac:dyDescent="0.3">
      <c r="A5" s="34">
        <v>46088</v>
      </c>
      <c r="B5">
        <v>8121</v>
      </c>
      <c r="C5">
        <v>8367</v>
      </c>
      <c r="D5">
        <v>5683</v>
      </c>
      <c r="E5">
        <v>46516</v>
      </c>
      <c r="F5">
        <v>105</v>
      </c>
      <c r="G5">
        <v>352</v>
      </c>
      <c r="H5">
        <v>1207</v>
      </c>
      <c r="I5">
        <v>0</v>
      </c>
      <c r="J5">
        <v>0</v>
      </c>
      <c r="K5" t="s">
        <v>36</v>
      </c>
    </row>
    <row r="6" spans="1:13" x14ac:dyDescent="0.3">
      <c r="A6" s="34">
        <v>46089</v>
      </c>
      <c r="B6">
        <v>7409</v>
      </c>
      <c r="C6">
        <v>8024</v>
      </c>
      <c r="D6">
        <v>5345</v>
      </c>
      <c r="E6">
        <v>43272</v>
      </c>
      <c r="F6">
        <v>112</v>
      </c>
      <c r="G6">
        <v>353</v>
      </c>
      <c r="H6">
        <v>1108</v>
      </c>
      <c r="I6">
        <v>0</v>
      </c>
      <c r="J6">
        <v>0</v>
      </c>
      <c r="K6" t="s">
        <v>36</v>
      </c>
    </row>
    <row r="7" spans="1:13" x14ac:dyDescent="0.3">
      <c r="A7" s="34">
        <v>46090</v>
      </c>
      <c r="B7">
        <v>7120</v>
      </c>
      <c r="C7">
        <v>8399</v>
      </c>
      <c r="D7">
        <v>5186</v>
      </c>
      <c r="E7">
        <v>40656</v>
      </c>
      <c r="F7">
        <v>114</v>
      </c>
      <c r="G7">
        <v>357</v>
      </c>
      <c r="H7">
        <v>1065</v>
      </c>
      <c r="I7">
        <v>0</v>
      </c>
      <c r="J7">
        <v>0</v>
      </c>
      <c r="K7" t="s">
        <v>36</v>
      </c>
    </row>
    <row r="8" spans="1:13" x14ac:dyDescent="0.3">
      <c r="A8" s="34">
        <v>46091</v>
      </c>
      <c r="B8">
        <v>7321</v>
      </c>
      <c r="C8">
        <v>8397</v>
      </c>
      <c r="D8">
        <v>5019</v>
      </c>
      <c r="E8">
        <v>39212</v>
      </c>
      <c r="F8">
        <v>78</v>
      </c>
      <c r="G8">
        <v>342</v>
      </c>
      <c r="H8">
        <v>1011</v>
      </c>
      <c r="I8">
        <v>0</v>
      </c>
      <c r="J8">
        <v>0</v>
      </c>
      <c r="K8" t="s">
        <v>36</v>
      </c>
    </row>
    <row r="9" spans="1:13" x14ac:dyDescent="0.3">
      <c r="A9" s="34">
        <v>46092</v>
      </c>
      <c r="B9">
        <v>6928</v>
      </c>
      <c r="C9">
        <v>8361</v>
      </c>
      <c r="D9">
        <v>4919</v>
      </c>
      <c r="E9">
        <v>37076</v>
      </c>
      <c r="F9">
        <v>54</v>
      </c>
      <c r="G9">
        <v>342</v>
      </c>
      <c r="H9">
        <v>949</v>
      </c>
      <c r="I9">
        <v>0</v>
      </c>
      <c r="J9">
        <v>0</v>
      </c>
      <c r="K9" t="s">
        <v>36</v>
      </c>
    </row>
    <row r="10" spans="1:13" x14ac:dyDescent="0.3">
      <c r="A10" s="34">
        <v>46093</v>
      </c>
      <c r="B10">
        <v>6942</v>
      </c>
      <c r="C10">
        <v>8353</v>
      </c>
      <c r="D10">
        <v>4792</v>
      </c>
      <c r="E10">
        <v>34136</v>
      </c>
      <c r="F10">
        <v>50</v>
      </c>
      <c r="G10">
        <v>331</v>
      </c>
      <c r="H10">
        <v>881</v>
      </c>
      <c r="I10">
        <v>0</v>
      </c>
      <c r="J10">
        <v>0</v>
      </c>
      <c r="K10" t="s">
        <v>36</v>
      </c>
    </row>
    <row r="11" spans="1:13" x14ac:dyDescent="0.3">
      <c r="A11" s="34">
        <v>46094</v>
      </c>
      <c r="B11">
        <v>6740</v>
      </c>
      <c r="C11">
        <v>8370</v>
      </c>
      <c r="D11">
        <v>4728</v>
      </c>
      <c r="E11">
        <v>30884</v>
      </c>
      <c r="F11">
        <v>54</v>
      </c>
      <c r="G11">
        <v>335</v>
      </c>
      <c r="H11">
        <v>839</v>
      </c>
      <c r="I11">
        <v>0</v>
      </c>
      <c r="J11">
        <v>0</v>
      </c>
      <c r="K11" t="s">
        <v>36</v>
      </c>
    </row>
    <row r="12" spans="1:13" x14ac:dyDescent="0.3">
      <c r="A12" s="34">
        <v>46095</v>
      </c>
      <c r="B12">
        <v>6528</v>
      </c>
      <c r="C12">
        <v>8378</v>
      </c>
      <c r="D12">
        <v>4813</v>
      </c>
      <c r="E12">
        <v>28720</v>
      </c>
      <c r="F12">
        <v>60</v>
      </c>
      <c r="G12">
        <v>330</v>
      </c>
      <c r="H12">
        <v>800</v>
      </c>
      <c r="I12">
        <v>0</v>
      </c>
      <c r="J12">
        <v>0</v>
      </c>
      <c r="K12" t="s">
        <v>36</v>
      </c>
    </row>
    <row r="13" spans="1:13" x14ac:dyDescent="0.3">
      <c r="A13" s="34">
        <v>46096</v>
      </c>
      <c r="B13">
        <v>6536</v>
      </c>
      <c r="C13">
        <v>8359</v>
      </c>
      <c r="D13">
        <v>4885</v>
      </c>
      <c r="E13">
        <v>27508</v>
      </c>
      <c r="F13">
        <v>63</v>
      </c>
      <c r="G13">
        <v>294</v>
      </c>
      <c r="H13">
        <v>755</v>
      </c>
      <c r="I13">
        <v>0</v>
      </c>
      <c r="J13">
        <v>0</v>
      </c>
      <c r="K13" t="s">
        <v>36</v>
      </c>
    </row>
    <row r="14" spans="1:13" x14ac:dyDescent="0.3">
      <c r="A14" s="34">
        <v>46097</v>
      </c>
      <c r="B14">
        <v>6005</v>
      </c>
      <c r="C14">
        <v>8343</v>
      </c>
      <c r="D14">
        <v>4883</v>
      </c>
      <c r="E14">
        <v>26652</v>
      </c>
      <c r="F14">
        <v>58</v>
      </c>
      <c r="G14">
        <v>236</v>
      </c>
      <c r="H14">
        <v>723</v>
      </c>
      <c r="I14">
        <v>0</v>
      </c>
      <c r="J14">
        <v>0</v>
      </c>
      <c r="K14" t="s">
        <v>36</v>
      </c>
    </row>
    <row r="15" spans="1:13" x14ac:dyDescent="0.3">
      <c r="A15" s="34">
        <v>46098</v>
      </c>
      <c r="B15">
        <v>6736</v>
      </c>
      <c r="C15">
        <v>8358</v>
      </c>
      <c r="D15">
        <v>4741</v>
      </c>
      <c r="E15">
        <v>25584</v>
      </c>
      <c r="F15">
        <v>63</v>
      </c>
      <c r="G15">
        <v>226</v>
      </c>
      <c r="H15">
        <v>708</v>
      </c>
      <c r="I15">
        <v>0</v>
      </c>
      <c r="J15">
        <v>0</v>
      </c>
      <c r="K15" t="s">
        <v>36</v>
      </c>
    </row>
    <row r="16" spans="1:13" x14ac:dyDescent="0.3">
      <c r="A16" s="34">
        <v>46099</v>
      </c>
      <c r="B16">
        <v>6538</v>
      </c>
      <c r="C16">
        <v>8343</v>
      </c>
      <c r="D16">
        <v>4593</v>
      </c>
      <c r="E16">
        <v>24200</v>
      </c>
      <c r="F16">
        <v>58</v>
      </c>
      <c r="G16">
        <v>227</v>
      </c>
      <c r="H16">
        <v>651</v>
      </c>
      <c r="I16">
        <v>0</v>
      </c>
      <c r="J16">
        <v>0</v>
      </c>
      <c r="K16" t="s">
        <v>36</v>
      </c>
    </row>
    <row r="17" spans="1:11" x14ac:dyDescent="0.3">
      <c r="A17" s="34">
        <v>46100</v>
      </c>
      <c r="B17">
        <v>585</v>
      </c>
      <c r="C17">
        <v>1677</v>
      </c>
      <c r="D17">
        <v>4214</v>
      </c>
      <c r="E17">
        <v>22556</v>
      </c>
      <c r="F17">
        <v>62</v>
      </c>
      <c r="G17">
        <v>226</v>
      </c>
      <c r="H17">
        <v>620</v>
      </c>
      <c r="I17">
        <v>0</v>
      </c>
      <c r="J17">
        <v>0</v>
      </c>
      <c r="K17" t="s">
        <v>36</v>
      </c>
    </row>
    <row r="18" spans="1:11" x14ac:dyDescent="0.3">
      <c r="A18" s="34">
        <v>46101</v>
      </c>
      <c r="B18">
        <v>6130</v>
      </c>
      <c r="C18">
        <v>8314</v>
      </c>
      <c r="D18">
        <v>3852</v>
      </c>
      <c r="E18">
        <v>21624</v>
      </c>
      <c r="F18">
        <v>63</v>
      </c>
      <c r="G18">
        <v>210</v>
      </c>
      <c r="H18">
        <v>607</v>
      </c>
      <c r="I18">
        <v>0</v>
      </c>
      <c r="J18">
        <v>0</v>
      </c>
      <c r="K18" t="s">
        <v>36</v>
      </c>
    </row>
    <row r="19" spans="1:11" x14ac:dyDescent="0.3">
      <c r="A19" s="34">
        <v>46102</v>
      </c>
      <c r="B19">
        <v>5729</v>
      </c>
      <c r="C19">
        <v>8362</v>
      </c>
      <c r="D19">
        <v>3562</v>
      </c>
      <c r="E19">
        <v>20584</v>
      </c>
      <c r="F19">
        <v>66</v>
      </c>
      <c r="G19">
        <v>205</v>
      </c>
      <c r="H19">
        <v>563</v>
      </c>
      <c r="I19">
        <v>0</v>
      </c>
      <c r="J19">
        <v>0</v>
      </c>
      <c r="K19" t="s">
        <v>36</v>
      </c>
    </row>
    <row r="20" spans="1:11" x14ac:dyDescent="0.3">
      <c r="A20" s="34">
        <v>46103</v>
      </c>
      <c r="B20">
        <v>5351</v>
      </c>
      <c r="C20">
        <v>8380</v>
      </c>
      <c r="D20">
        <v>3325</v>
      </c>
      <c r="E20">
        <v>19808</v>
      </c>
      <c r="F20">
        <v>62</v>
      </c>
      <c r="G20">
        <v>202</v>
      </c>
      <c r="H20">
        <v>553</v>
      </c>
      <c r="I20">
        <v>0</v>
      </c>
      <c r="J20">
        <v>0</v>
      </c>
      <c r="K20" t="s">
        <v>36</v>
      </c>
    </row>
    <row r="21" spans="1:11" x14ac:dyDescent="0.3">
      <c r="A21" s="34">
        <v>46104</v>
      </c>
      <c r="B21">
        <v>4954</v>
      </c>
      <c r="C21">
        <v>8381</v>
      </c>
      <c r="D21">
        <v>3057</v>
      </c>
      <c r="E21">
        <v>19100</v>
      </c>
      <c r="F21">
        <v>66</v>
      </c>
      <c r="G21">
        <v>199</v>
      </c>
      <c r="H21">
        <v>534</v>
      </c>
      <c r="I21">
        <v>0</v>
      </c>
      <c r="J21">
        <v>0</v>
      </c>
      <c r="K21" t="s">
        <v>36</v>
      </c>
    </row>
    <row r="22" spans="1:11" x14ac:dyDescent="0.3">
      <c r="A22" s="34">
        <v>46105</v>
      </c>
      <c r="B22">
        <v>6346</v>
      </c>
      <c r="C22">
        <v>6929</v>
      </c>
      <c r="D22">
        <v>2683</v>
      </c>
      <c r="E22">
        <v>18400</v>
      </c>
      <c r="F22">
        <v>61</v>
      </c>
      <c r="G22">
        <v>182</v>
      </c>
      <c r="H22">
        <v>500</v>
      </c>
      <c r="I22">
        <v>0</v>
      </c>
      <c r="J22">
        <v>0</v>
      </c>
      <c r="K22" t="s">
        <v>36</v>
      </c>
    </row>
    <row r="23" spans="1:11" x14ac:dyDescent="0.3">
      <c r="A23" s="34">
        <v>46106</v>
      </c>
      <c r="B23">
        <v>5750</v>
      </c>
      <c r="C23">
        <v>6975</v>
      </c>
      <c r="D23">
        <v>2398</v>
      </c>
      <c r="E23">
        <v>17108</v>
      </c>
      <c r="F23">
        <v>40</v>
      </c>
      <c r="G23">
        <v>193</v>
      </c>
      <c r="H23">
        <v>471</v>
      </c>
      <c r="I23">
        <v>0</v>
      </c>
      <c r="J23">
        <v>0</v>
      </c>
      <c r="K23" t="s">
        <v>36</v>
      </c>
    </row>
    <row r="24" spans="1:11" x14ac:dyDescent="0.3">
      <c r="A24" s="34">
        <v>46107</v>
      </c>
      <c r="B24">
        <v>5542</v>
      </c>
      <c r="C24">
        <v>6991</v>
      </c>
      <c r="D24">
        <v>2186</v>
      </c>
      <c r="E24">
        <v>15672</v>
      </c>
      <c r="F24">
        <v>53</v>
      </c>
      <c r="G24">
        <v>197</v>
      </c>
      <c r="H24">
        <v>452</v>
      </c>
      <c r="I24">
        <v>0</v>
      </c>
      <c r="J24">
        <v>0</v>
      </c>
      <c r="K24" t="s">
        <v>36</v>
      </c>
    </row>
    <row r="25" spans="1:11" x14ac:dyDescent="0.3">
      <c r="A25" s="34">
        <v>46108</v>
      </c>
      <c r="B25">
        <v>5152</v>
      </c>
      <c r="C25">
        <v>6972</v>
      </c>
      <c r="D25">
        <v>2038</v>
      </c>
      <c r="E25">
        <v>14064</v>
      </c>
      <c r="F25">
        <v>74</v>
      </c>
      <c r="G25">
        <v>189</v>
      </c>
      <c r="H25">
        <v>425</v>
      </c>
      <c r="I25">
        <v>0</v>
      </c>
      <c r="J25">
        <v>0</v>
      </c>
      <c r="K25" t="s">
        <v>36</v>
      </c>
    </row>
    <row r="26" spans="1:11" x14ac:dyDescent="0.3">
      <c r="A26" s="34">
        <v>46109</v>
      </c>
      <c r="B26">
        <v>4938</v>
      </c>
      <c r="C26">
        <v>6986</v>
      </c>
      <c r="D26">
        <v>1974</v>
      </c>
      <c r="E26">
        <v>13236</v>
      </c>
      <c r="F26">
        <v>57</v>
      </c>
      <c r="G26">
        <v>195</v>
      </c>
      <c r="H26">
        <v>399</v>
      </c>
      <c r="I26">
        <v>0</v>
      </c>
      <c r="J26">
        <v>0</v>
      </c>
      <c r="K26" t="s">
        <v>36</v>
      </c>
    </row>
    <row r="27" spans="1:11" x14ac:dyDescent="0.3">
      <c r="A27" s="34">
        <v>46110</v>
      </c>
      <c r="B27">
        <v>4730</v>
      </c>
      <c r="C27">
        <v>6973</v>
      </c>
      <c r="D27">
        <v>1948</v>
      </c>
      <c r="E27">
        <v>13036</v>
      </c>
      <c r="F27">
        <v>49</v>
      </c>
      <c r="G27">
        <v>194</v>
      </c>
      <c r="H27">
        <v>373</v>
      </c>
      <c r="I27">
        <v>0</v>
      </c>
      <c r="J27">
        <v>0</v>
      </c>
      <c r="K27" t="s">
        <v>36</v>
      </c>
    </row>
    <row r="28" spans="1:11" x14ac:dyDescent="0.3">
      <c r="A28" s="34">
        <v>46111</v>
      </c>
      <c r="B28">
        <v>4712</v>
      </c>
      <c r="C28">
        <v>6967</v>
      </c>
      <c r="D28">
        <v>1848</v>
      </c>
      <c r="E28">
        <v>12777</v>
      </c>
      <c r="F28">
        <v>40</v>
      </c>
      <c r="G28">
        <v>188</v>
      </c>
      <c r="H28">
        <v>359</v>
      </c>
      <c r="I28">
        <v>0</v>
      </c>
      <c r="J28">
        <v>0</v>
      </c>
      <c r="K28" t="s">
        <v>36</v>
      </c>
    </row>
    <row r="29" spans="1:11" x14ac:dyDescent="0.3">
      <c r="A29" s="34">
        <v>46112</v>
      </c>
      <c r="B29">
        <v>4732</v>
      </c>
      <c r="C29">
        <v>6980</v>
      </c>
      <c r="D29">
        <v>1861</v>
      </c>
      <c r="E29">
        <v>12424</v>
      </c>
      <c r="F29">
        <v>40</v>
      </c>
      <c r="G29">
        <v>199</v>
      </c>
      <c r="H29">
        <v>354</v>
      </c>
      <c r="I29">
        <v>0</v>
      </c>
      <c r="J29">
        <v>0</v>
      </c>
      <c r="K29" t="s">
        <v>36</v>
      </c>
    </row>
    <row r="30" spans="1:11" x14ac:dyDescent="0.3">
      <c r="A30" s="34">
        <v>46113</v>
      </c>
      <c r="B30">
        <v>1190</v>
      </c>
      <c r="C30">
        <v>6988</v>
      </c>
      <c r="D30">
        <v>2095</v>
      </c>
      <c r="E30">
        <v>12476</v>
      </c>
      <c r="F30">
        <v>36</v>
      </c>
      <c r="G30">
        <v>205</v>
      </c>
      <c r="H30">
        <v>878</v>
      </c>
      <c r="I30">
        <v>0</v>
      </c>
      <c r="J30">
        <v>0</v>
      </c>
      <c r="K30" t="s">
        <v>36</v>
      </c>
    </row>
    <row r="31" spans="1:11" x14ac:dyDescent="0.3">
      <c r="A31" s="34">
        <v>46114</v>
      </c>
      <c r="B31">
        <v>1183</v>
      </c>
      <c r="C31">
        <v>6829</v>
      </c>
      <c r="D31">
        <v>2163</v>
      </c>
      <c r="E31">
        <v>12985</v>
      </c>
      <c r="F31">
        <v>28</v>
      </c>
      <c r="G31">
        <v>177</v>
      </c>
      <c r="H31">
        <v>1163</v>
      </c>
      <c r="I31">
        <v>0</v>
      </c>
      <c r="J31">
        <v>0</v>
      </c>
      <c r="K31" t="s">
        <v>36</v>
      </c>
    </row>
    <row r="32" spans="1:11" x14ac:dyDescent="0.3">
      <c r="A32" s="34">
        <v>46115</v>
      </c>
      <c r="B32">
        <v>1180</v>
      </c>
      <c r="C32">
        <v>6955</v>
      </c>
      <c r="D32">
        <v>2316</v>
      </c>
      <c r="E32">
        <v>14567</v>
      </c>
      <c r="F32">
        <v>28</v>
      </c>
      <c r="G32">
        <v>187</v>
      </c>
      <c r="H32">
        <v>1176</v>
      </c>
      <c r="I32">
        <v>0</v>
      </c>
      <c r="J32">
        <v>0</v>
      </c>
      <c r="K32" t="s">
        <v>36</v>
      </c>
    </row>
    <row r="33" spans="1:11" x14ac:dyDescent="0.3">
      <c r="A33" s="34">
        <v>46116</v>
      </c>
      <c r="B33">
        <v>1190</v>
      </c>
      <c r="C33">
        <v>6954</v>
      </c>
      <c r="D33">
        <v>2478</v>
      </c>
      <c r="E33">
        <v>15390</v>
      </c>
      <c r="F33">
        <v>29</v>
      </c>
      <c r="G33">
        <v>180</v>
      </c>
      <c r="H33">
        <v>900</v>
      </c>
      <c r="I33">
        <v>0</v>
      </c>
      <c r="J33">
        <v>0</v>
      </c>
      <c r="K33" t="s">
        <v>36</v>
      </c>
    </row>
    <row r="34" spans="1:11" x14ac:dyDescent="0.3">
      <c r="A34" s="34">
        <v>46117</v>
      </c>
      <c r="B34">
        <v>1183</v>
      </c>
      <c r="C34">
        <v>6961</v>
      </c>
      <c r="D34">
        <v>2564</v>
      </c>
      <c r="E34">
        <v>15112</v>
      </c>
      <c r="F34">
        <v>69</v>
      </c>
      <c r="G34">
        <v>179</v>
      </c>
      <c r="H34">
        <v>770</v>
      </c>
      <c r="I34">
        <v>0</v>
      </c>
      <c r="J34">
        <v>0</v>
      </c>
      <c r="K34" t="s">
        <v>36</v>
      </c>
    </row>
    <row r="35" spans="1:11" x14ac:dyDescent="0.3">
      <c r="A35" s="34">
        <v>46118</v>
      </c>
      <c r="B35">
        <v>1190</v>
      </c>
      <c r="C35">
        <v>6942</v>
      </c>
      <c r="D35">
        <v>2645</v>
      </c>
      <c r="E35">
        <v>13917</v>
      </c>
      <c r="F35">
        <v>69</v>
      </c>
      <c r="G35">
        <v>179</v>
      </c>
      <c r="H35">
        <v>675</v>
      </c>
      <c r="I35">
        <v>0</v>
      </c>
      <c r="J35">
        <v>0</v>
      </c>
      <c r="K35" t="s">
        <v>37</v>
      </c>
    </row>
    <row r="36" spans="1:11" x14ac:dyDescent="0.3">
      <c r="A36" s="34">
        <v>46119</v>
      </c>
      <c r="B36">
        <v>1190</v>
      </c>
      <c r="C36">
        <v>6942</v>
      </c>
      <c r="D36">
        <v>2637</v>
      </c>
      <c r="E36">
        <v>13022</v>
      </c>
      <c r="F36">
        <v>69</v>
      </c>
      <c r="G36">
        <v>179</v>
      </c>
      <c r="H36">
        <v>578</v>
      </c>
      <c r="I36">
        <v>0</v>
      </c>
      <c r="J36">
        <v>0</v>
      </c>
      <c r="K36" t="s">
        <v>37</v>
      </c>
    </row>
    <row r="37" spans="1:11" x14ac:dyDescent="0.3">
      <c r="A37" s="34">
        <v>46120</v>
      </c>
      <c r="B37">
        <v>1190</v>
      </c>
      <c r="C37">
        <v>5355</v>
      </c>
      <c r="D37">
        <v>2604</v>
      </c>
      <c r="E37">
        <v>12783</v>
      </c>
      <c r="F37">
        <v>69</v>
      </c>
      <c r="G37">
        <v>179</v>
      </c>
      <c r="H37">
        <v>506</v>
      </c>
      <c r="I37">
        <v>0</v>
      </c>
      <c r="J37">
        <v>0</v>
      </c>
      <c r="K37" t="s">
        <v>37</v>
      </c>
    </row>
    <row r="38" spans="1:11" x14ac:dyDescent="0.3">
      <c r="A38" s="34">
        <v>46121</v>
      </c>
      <c r="B38">
        <v>1190</v>
      </c>
      <c r="C38">
        <v>5355</v>
      </c>
      <c r="D38">
        <v>2572</v>
      </c>
      <c r="E38">
        <v>12865</v>
      </c>
      <c r="F38">
        <v>69</v>
      </c>
      <c r="G38">
        <v>179</v>
      </c>
      <c r="H38">
        <v>456</v>
      </c>
      <c r="I38">
        <v>0</v>
      </c>
      <c r="J38">
        <v>0</v>
      </c>
      <c r="K38" t="s">
        <v>37</v>
      </c>
    </row>
    <row r="39" spans="1:11" x14ac:dyDescent="0.3">
      <c r="A39" s="34">
        <v>46122</v>
      </c>
      <c r="B39">
        <v>1190</v>
      </c>
      <c r="C39">
        <v>5355</v>
      </c>
      <c r="D39">
        <v>2547</v>
      </c>
      <c r="E39">
        <v>13590</v>
      </c>
      <c r="F39">
        <v>69</v>
      </c>
      <c r="G39">
        <v>179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34">
        <v>46123</v>
      </c>
      <c r="B40">
        <v>1190</v>
      </c>
      <c r="C40">
        <v>5355</v>
      </c>
      <c r="D40">
        <v>2500</v>
      </c>
      <c r="E40">
        <v>15314</v>
      </c>
      <c r="F40">
        <v>69</v>
      </c>
      <c r="G40">
        <v>179</v>
      </c>
      <c r="H40">
        <v>510</v>
      </c>
      <c r="I40">
        <v>0</v>
      </c>
      <c r="J40">
        <v>0</v>
      </c>
      <c r="K40" t="s">
        <v>37</v>
      </c>
    </row>
    <row r="41" spans="1:11" x14ac:dyDescent="0.3">
      <c r="A41" s="34">
        <v>46124</v>
      </c>
      <c r="B41">
        <v>1190</v>
      </c>
      <c r="C41">
        <v>5355</v>
      </c>
      <c r="D41">
        <v>2450</v>
      </c>
      <c r="E41">
        <v>16511</v>
      </c>
      <c r="F41">
        <v>69</v>
      </c>
      <c r="G41">
        <v>179</v>
      </c>
      <c r="H41">
        <v>510</v>
      </c>
      <c r="I41">
        <v>0</v>
      </c>
      <c r="J41">
        <v>0</v>
      </c>
      <c r="K41" t="s">
        <v>37</v>
      </c>
    </row>
    <row r="42" spans="1:11" x14ac:dyDescent="0.3">
      <c r="A42" s="34">
        <v>46125</v>
      </c>
      <c r="B42">
        <v>1190</v>
      </c>
      <c r="C42">
        <v>1785</v>
      </c>
      <c r="D42">
        <v>2400</v>
      </c>
      <c r="E42">
        <v>16887</v>
      </c>
      <c r="F42">
        <v>69</v>
      </c>
      <c r="G42">
        <v>179</v>
      </c>
      <c r="H42">
        <v>510</v>
      </c>
      <c r="I42">
        <v>0</v>
      </c>
      <c r="J42">
        <v>0</v>
      </c>
      <c r="K42" t="s">
        <v>37</v>
      </c>
    </row>
    <row r="43" spans="1:11" x14ac:dyDescent="0.3">
      <c r="A43" s="34">
        <v>46126</v>
      </c>
      <c r="B43">
        <v>1190</v>
      </c>
      <c r="C43">
        <v>1785</v>
      </c>
      <c r="D43">
        <v>2350</v>
      </c>
      <c r="E43">
        <v>16858</v>
      </c>
      <c r="F43">
        <v>69</v>
      </c>
      <c r="G43">
        <v>179</v>
      </c>
      <c r="H43">
        <v>510</v>
      </c>
      <c r="I43">
        <v>0</v>
      </c>
      <c r="J43">
        <v>0</v>
      </c>
      <c r="K43" t="s">
        <v>37</v>
      </c>
    </row>
    <row r="44" spans="1:11" x14ac:dyDescent="0.3">
      <c r="A44" s="34">
        <v>46127</v>
      </c>
      <c r="B44">
        <v>1190</v>
      </c>
      <c r="C44">
        <v>1785</v>
      </c>
      <c r="D44">
        <v>2300</v>
      </c>
      <c r="E44">
        <v>16705</v>
      </c>
      <c r="F44">
        <v>69</v>
      </c>
      <c r="G44">
        <v>179</v>
      </c>
      <c r="H44">
        <v>510</v>
      </c>
      <c r="I44">
        <v>0</v>
      </c>
      <c r="J44">
        <v>0</v>
      </c>
      <c r="K44" t="s">
        <v>37</v>
      </c>
    </row>
    <row r="45" spans="1:11" x14ac:dyDescent="0.3">
      <c r="A45" s="34">
        <v>46128</v>
      </c>
      <c r="B45">
        <v>1190</v>
      </c>
      <c r="C45">
        <v>1785</v>
      </c>
      <c r="D45">
        <v>2250</v>
      </c>
      <c r="E45">
        <v>16000</v>
      </c>
      <c r="F45">
        <v>69</v>
      </c>
      <c r="G45">
        <v>179</v>
      </c>
      <c r="H45">
        <v>510</v>
      </c>
      <c r="I45">
        <v>0</v>
      </c>
      <c r="J45">
        <v>0</v>
      </c>
      <c r="K45" t="s">
        <v>37</v>
      </c>
    </row>
    <row r="46" spans="1:11" x14ac:dyDescent="0.3">
      <c r="A46" s="34">
        <v>46129</v>
      </c>
      <c r="B46">
        <v>1190</v>
      </c>
      <c r="C46">
        <v>1785</v>
      </c>
      <c r="D46">
        <v>2200</v>
      </c>
      <c r="E46">
        <v>15000</v>
      </c>
      <c r="F46">
        <v>69</v>
      </c>
      <c r="G46">
        <v>179</v>
      </c>
      <c r="H46">
        <v>510</v>
      </c>
      <c r="I46">
        <v>0</v>
      </c>
      <c r="J46">
        <v>0</v>
      </c>
      <c r="K46" t="s">
        <v>37</v>
      </c>
    </row>
    <row r="47" spans="1:11" x14ac:dyDescent="0.3">
      <c r="A47" s="34">
        <v>46130</v>
      </c>
      <c r="B47">
        <v>1190</v>
      </c>
      <c r="C47">
        <v>1785</v>
      </c>
      <c r="D47">
        <v>2200</v>
      </c>
      <c r="E47">
        <v>14000</v>
      </c>
      <c r="F47">
        <v>69</v>
      </c>
      <c r="G47">
        <v>179</v>
      </c>
      <c r="H47">
        <v>510</v>
      </c>
      <c r="I47">
        <v>0</v>
      </c>
      <c r="J47">
        <v>0</v>
      </c>
      <c r="K47" t="s">
        <v>37</v>
      </c>
    </row>
    <row r="48" spans="1:11" x14ac:dyDescent="0.3">
      <c r="A48" s="34">
        <v>46131</v>
      </c>
      <c r="B48">
        <v>1190</v>
      </c>
      <c r="C48">
        <v>1785</v>
      </c>
      <c r="D48">
        <v>2200</v>
      </c>
      <c r="E48">
        <v>13000</v>
      </c>
      <c r="F48">
        <v>69</v>
      </c>
      <c r="G48">
        <v>179</v>
      </c>
      <c r="H48">
        <v>510</v>
      </c>
      <c r="I48">
        <v>0</v>
      </c>
      <c r="J48">
        <v>0</v>
      </c>
      <c r="K48" t="s">
        <v>37</v>
      </c>
    </row>
    <row r="49" spans="1:11" x14ac:dyDescent="0.3">
      <c r="A49" s="34">
        <v>46132</v>
      </c>
      <c r="B49">
        <v>1190</v>
      </c>
      <c r="C49">
        <v>1785</v>
      </c>
      <c r="D49">
        <v>2200</v>
      </c>
      <c r="E49">
        <v>13000</v>
      </c>
      <c r="F49">
        <v>69</v>
      </c>
      <c r="G49">
        <v>179</v>
      </c>
      <c r="H49">
        <v>510</v>
      </c>
      <c r="I49">
        <v>0</v>
      </c>
      <c r="J49">
        <v>0</v>
      </c>
      <c r="K49" t="s">
        <v>37</v>
      </c>
    </row>
    <row r="50" spans="1:11" x14ac:dyDescent="0.3">
      <c r="A50" s="34">
        <v>46133</v>
      </c>
      <c r="B50">
        <v>1190</v>
      </c>
      <c r="C50">
        <v>1785</v>
      </c>
      <c r="D50">
        <v>2200</v>
      </c>
      <c r="E50">
        <v>13000</v>
      </c>
      <c r="F50">
        <v>69</v>
      </c>
      <c r="G50">
        <v>179</v>
      </c>
      <c r="H50">
        <v>510</v>
      </c>
      <c r="I50">
        <v>0</v>
      </c>
      <c r="J50">
        <v>0</v>
      </c>
      <c r="K50" t="s">
        <v>37</v>
      </c>
    </row>
    <row r="51" spans="1:11" x14ac:dyDescent="0.3">
      <c r="A51" s="34">
        <v>46134</v>
      </c>
      <c r="B51">
        <v>1190</v>
      </c>
      <c r="C51">
        <v>1785</v>
      </c>
      <c r="D51">
        <v>2200</v>
      </c>
      <c r="E51">
        <v>13000</v>
      </c>
      <c r="F51">
        <v>69</v>
      </c>
      <c r="G51">
        <v>179</v>
      </c>
      <c r="H51">
        <v>510</v>
      </c>
      <c r="I51">
        <v>0</v>
      </c>
      <c r="J51">
        <v>0</v>
      </c>
      <c r="K51" t="s">
        <v>37</v>
      </c>
    </row>
    <row r="52" spans="1:11" x14ac:dyDescent="0.3">
      <c r="A52" s="34">
        <v>46135</v>
      </c>
      <c r="B52">
        <v>1190</v>
      </c>
      <c r="C52">
        <v>1785</v>
      </c>
      <c r="D52">
        <v>2200</v>
      </c>
      <c r="E52">
        <v>13000</v>
      </c>
      <c r="F52">
        <v>69</v>
      </c>
      <c r="G52">
        <v>179</v>
      </c>
      <c r="H52">
        <v>510</v>
      </c>
      <c r="I52">
        <v>0</v>
      </c>
      <c r="J52">
        <v>0</v>
      </c>
      <c r="K52" t="s">
        <v>37</v>
      </c>
    </row>
    <row r="53" spans="1:11" x14ac:dyDescent="0.3">
      <c r="A53" s="34">
        <v>46136</v>
      </c>
      <c r="B53">
        <v>1190</v>
      </c>
      <c r="C53">
        <v>1785</v>
      </c>
      <c r="D53">
        <v>2200</v>
      </c>
      <c r="E53">
        <v>13000</v>
      </c>
      <c r="F53">
        <v>69</v>
      </c>
      <c r="G53">
        <v>179</v>
      </c>
      <c r="H53">
        <v>510</v>
      </c>
      <c r="I53">
        <v>0</v>
      </c>
      <c r="J53">
        <v>0</v>
      </c>
      <c r="K53" t="s">
        <v>37</v>
      </c>
    </row>
    <row r="54" spans="1:11" x14ac:dyDescent="0.3">
      <c r="A54" s="34">
        <v>46137</v>
      </c>
      <c r="B54">
        <v>1190</v>
      </c>
      <c r="C54">
        <v>1785</v>
      </c>
      <c r="D54">
        <v>2200</v>
      </c>
      <c r="E54">
        <v>13000</v>
      </c>
      <c r="F54">
        <v>69</v>
      </c>
      <c r="G54">
        <v>179</v>
      </c>
      <c r="H54">
        <v>510</v>
      </c>
      <c r="I54">
        <v>0</v>
      </c>
      <c r="J54">
        <v>0</v>
      </c>
      <c r="K54" t="s">
        <v>37</v>
      </c>
    </row>
    <row r="55" spans="1:11" x14ac:dyDescent="0.3">
      <c r="A55" s="34">
        <v>46138</v>
      </c>
      <c r="B55">
        <v>1190</v>
      </c>
      <c r="C55">
        <v>1785</v>
      </c>
      <c r="D55">
        <v>2200</v>
      </c>
      <c r="E55">
        <v>13000</v>
      </c>
      <c r="F55">
        <v>69</v>
      </c>
      <c r="G55">
        <v>179</v>
      </c>
      <c r="H55">
        <v>510</v>
      </c>
      <c r="I55">
        <v>0</v>
      </c>
      <c r="J55">
        <v>0</v>
      </c>
      <c r="K55" t="s">
        <v>37</v>
      </c>
    </row>
    <row r="56" spans="1:11" x14ac:dyDescent="0.3">
      <c r="A56" s="34">
        <v>46139</v>
      </c>
      <c r="B56">
        <v>1190</v>
      </c>
      <c r="C56">
        <v>1785</v>
      </c>
      <c r="D56">
        <v>2200</v>
      </c>
      <c r="E56">
        <v>13000</v>
      </c>
      <c r="F56">
        <v>69</v>
      </c>
      <c r="G56">
        <v>179</v>
      </c>
      <c r="H56">
        <v>510</v>
      </c>
      <c r="I56">
        <v>0</v>
      </c>
      <c r="J56">
        <v>0</v>
      </c>
      <c r="K56" t="s">
        <v>37</v>
      </c>
    </row>
    <row r="57" spans="1:11" x14ac:dyDescent="0.3">
      <c r="A57" s="34">
        <v>46140</v>
      </c>
      <c r="B57">
        <v>1190</v>
      </c>
      <c r="C57">
        <v>1785</v>
      </c>
      <c r="D57">
        <v>2200</v>
      </c>
      <c r="E57">
        <v>13000</v>
      </c>
      <c r="F57">
        <v>69</v>
      </c>
      <c r="G57">
        <v>179</v>
      </c>
      <c r="H57">
        <v>510</v>
      </c>
      <c r="I57">
        <v>0</v>
      </c>
      <c r="J57">
        <v>0</v>
      </c>
      <c r="K57" t="s">
        <v>37</v>
      </c>
    </row>
    <row r="58" spans="1:11" x14ac:dyDescent="0.3">
      <c r="A58" s="34">
        <v>46141</v>
      </c>
      <c r="B58">
        <v>1190</v>
      </c>
      <c r="C58">
        <v>1785</v>
      </c>
      <c r="D58">
        <v>2200</v>
      </c>
      <c r="E58">
        <v>13000</v>
      </c>
      <c r="F58">
        <v>69</v>
      </c>
      <c r="G58">
        <v>179</v>
      </c>
      <c r="H58">
        <v>510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8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H65" sqref="H65"/>
    </sheetView>
  </sheetViews>
  <sheetFormatPr defaultRowHeight="14.4" x14ac:dyDescent="0.3"/>
  <cols>
    <col min="1" max="1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46087</v>
      </c>
      <c r="B4">
        <v>8329</v>
      </c>
      <c r="C4">
        <v>8351</v>
      </c>
      <c r="D4">
        <v>6106</v>
      </c>
      <c r="E4">
        <v>50104</v>
      </c>
      <c r="F4">
        <v>104</v>
      </c>
      <c r="G4">
        <v>359</v>
      </c>
      <c r="H4">
        <v>1365</v>
      </c>
      <c r="I4">
        <v>0</v>
      </c>
      <c r="J4">
        <v>0</v>
      </c>
      <c r="K4" t="s">
        <v>36</v>
      </c>
    </row>
    <row r="5" spans="1:13" x14ac:dyDescent="0.3">
      <c r="A5" s="34">
        <v>46088</v>
      </c>
      <c r="B5">
        <v>8121</v>
      </c>
      <c r="C5">
        <v>8367</v>
      </c>
      <c r="D5">
        <v>5683</v>
      </c>
      <c r="E5">
        <v>46516</v>
      </c>
      <c r="F5">
        <v>105</v>
      </c>
      <c r="G5">
        <v>352</v>
      </c>
      <c r="H5">
        <v>1207</v>
      </c>
      <c r="I5">
        <v>0</v>
      </c>
      <c r="J5">
        <v>0</v>
      </c>
      <c r="K5" t="s">
        <v>36</v>
      </c>
    </row>
    <row r="6" spans="1:13" x14ac:dyDescent="0.3">
      <c r="A6" s="34">
        <v>46089</v>
      </c>
      <c r="B6">
        <v>7409</v>
      </c>
      <c r="C6">
        <v>8024</v>
      </c>
      <c r="D6">
        <v>5345</v>
      </c>
      <c r="E6">
        <v>43272</v>
      </c>
      <c r="F6">
        <v>112</v>
      </c>
      <c r="G6">
        <v>353</v>
      </c>
      <c r="H6">
        <v>1108</v>
      </c>
      <c r="I6">
        <v>0</v>
      </c>
      <c r="J6">
        <v>0</v>
      </c>
      <c r="K6" t="s">
        <v>36</v>
      </c>
    </row>
    <row r="7" spans="1:13" x14ac:dyDescent="0.3">
      <c r="A7" s="34">
        <v>46090</v>
      </c>
      <c r="B7">
        <v>7120</v>
      </c>
      <c r="C7">
        <v>8399</v>
      </c>
      <c r="D7">
        <v>5186</v>
      </c>
      <c r="E7">
        <v>40656</v>
      </c>
      <c r="F7">
        <v>114</v>
      </c>
      <c r="G7">
        <v>357</v>
      </c>
      <c r="H7">
        <v>1065</v>
      </c>
      <c r="I7">
        <v>0</v>
      </c>
      <c r="J7">
        <v>0</v>
      </c>
      <c r="K7" t="s">
        <v>36</v>
      </c>
    </row>
    <row r="8" spans="1:13" x14ac:dyDescent="0.3">
      <c r="A8" s="34">
        <v>46091</v>
      </c>
      <c r="B8">
        <v>7321</v>
      </c>
      <c r="C8">
        <v>8397</v>
      </c>
      <c r="D8">
        <v>5019</v>
      </c>
      <c r="E8">
        <v>39212</v>
      </c>
      <c r="F8">
        <v>78</v>
      </c>
      <c r="G8">
        <v>342</v>
      </c>
      <c r="H8">
        <v>1011</v>
      </c>
      <c r="I8">
        <v>0</v>
      </c>
      <c r="J8">
        <v>0</v>
      </c>
      <c r="K8" t="s">
        <v>36</v>
      </c>
    </row>
    <row r="9" spans="1:13" x14ac:dyDescent="0.3">
      <c r="A9" s="34">
        <v>46092</v>
      </c>
      <c r="B9">
        <v>6928</v>
      </c>
      <c r="C9">
        <v>8361</v>
      </c>
      <c r="D9">
        <v>4919</v>
      </c>
      <c r="E9">
        <v>37076</v>
      </c>
      <c r="F9">
        <v>54</v>
      </c>
      <c r="G9">
        <v>342</v>
      </c>
      <c r="H9">
        <v>949</v>
      </c>
      <c r="I9">
        <v>0</v>
      </c>
      <c r="J9">
        <v>0</v>
      </c>
      <c r="K9" t="s">
        <v>36</v>
      </c>
    </row>
    <row r="10" spans="1:13" x14ac:dyDescent="0.3">
      <c r="A10" s="34">
        <v>46093</v>
      </c>
      <c r="B10">
        <v>6942</v>
      </c>
      <c r="C10">
        <v>8353</v>
      </c>
      <c r="D10">
        <v>4792</v>
      </c>
      <c r="E10">
        <v>34136</v>
      </c>
      <c r="F10">
        <v>50</v>
      </c>
      <c r="G10">
        <v>331</v>
      </c>
      <c r="H10">
        <v>881</v>
      </c>
      <c r="I10">
        <v>0</v>
      </c>
      <c r="J10">
        <v>0</v>
      </c>
      <c r="K10" t="s">
        <v>36</v>
      </c>
    </row>
    <row r="11" spans="1:13" x14ac:dyDescent="0.3">
      <c r="A11" s="34">
        <v>46094</v>
      </c>
      <c r="B11">
        <v>6740</v>
      </c>
      <c r="C11">
        <v>8370</v>
      </c>
      <c r="D11">
        <v>4728</v>
      </c>
      <c r="E11">
        <v>30884</v>
      </c>
      <c r="F11">
        <v>54</v>
      </c>
      <c r="G11">
        <v>335</v>
      </c>
      <c r="H11">
        <v>839</v>
      </c>
      <c r="I11">
        <v>0</v>
      </c>
      <c r="J11">
        <v>0</v>
      </c>
      <c r="K11" t="s">
        <v>36</v>
      </c>
    </row>
    <row r="12" spans="1:13" x14ac:dyDescent="0.3">
      <c r="A12" s="34">
        <v>46095</v>
      </c>
      <c r="B12">
        <v>6528</v>
      </c>
      <c r="C12">
        <v>8378</v>
      </c>
      <c r="D12">
        <v>4813</v>
      </c>
      <c r="E12">
        <v>28720</v>
      </c>
      <c r="F12">
        <v>60</v>
      </c>
      <c r="G12">
        <v>330</v>
      </c>
      <c r="H12">
        <v>800</v>
      </c>
      <c r="I12">
        <v>0</v>
      </c>
      <c r="J12">
        <v>0</v>
      </c>
      <c r="K12" t="s">
        <v>36</v>
      </c>
    </row>
    <row r="13" spans="1:13" x14ac:dyDescent="0.3">
      <c r="A13" s="34">
        <v>46096</v>
      </c>
      <c r="B13">
        <v>6536</v>
      </c>
      <c r="C13">
        <v>8359</v>
      </c>
      <c r="D13">
        <v>4885</v>
      </c>
      <c r="E13">
        <v>27508</v>
      </c>
      <c r="F13">
        <v>63</v>
      </c>
      <c r="G13">
        <v>294</v>
      </c>
      <c r="H13">
        <v>755</v>
      </c>
      <c r="I13">
        <v>0</v>
      </c>
      <c r="J13">
        <v>0</v>
      </c>
      <c r="K13" t="s">
        <v>36</v>
      </c>
    </row>
    <row r="14" spans="1:13" x14ac:dyDescent="0.3">
      <c r="A14" s="34">
        <v>46097</v>
      </c>
      <c r="B14">
        <v>6005</v>
      </c>
      <c r="C14">
        <v>8343</v>
      </c>
      <c r="D14">
        <v>4883</v>
      </c>
      <c r="E14">
        <v>26652</v>
      </c>
      <c r="F14">
        <v>58</v>
      </c>
      <c r="G14">
        <v>236</v>
      </c>
      <c r="H14">
        <v>723</v>
      </c>
      <c r="I14">
        <v>0</v>
      </c>
      <c r="J14">
        <v>0</v>
      </c>
      <c r="K14" t="s">
        <v>36</v>
      </c>
    </row>
    <row r="15" spans="1:13" x14ac:dyDescent="0.3">
      <c r="A15" s="34">
        <v>46098</v>
      </c>
      <c r="B15">
        <v>6736</v>
      </c>
      <c r="C15">
        <v>8358</v>
      </c>
      <c r="D15">
        <v>4741</v>
      </c>
      <c r="E15">
        <v>25584</v>
      </c>
      <c r="F15">
        <v>63</v>
      </c>
      <c r="G15">
        <v>226</v>
      </c>
      <c r="H15">
        <v>708</v>
      </c>
      <c r="I15">
        <v>0</v>
      </c>
      <c r="J15">
        <v>0</v>
      </c>
      <c r="K15" t="s">
        <v>36</v>
      </c>
    </row>
    <row r="16" spans="1:13" x14ac:dyDescent="0.3">
      <c r="A16" s="34">
        <v>46099</v>
      </c>
      <c r="B16">
        <v>6538</v>
      </c>
      <c r="C16">
        <v>8343</v>
      </c>
      <c r="D16">
        <v>4593</v>
      </c>
      <c r="E16">
        <v>24200</v>
      </c>
      <c r="F16">
        <v>58</v>
      </c>
      <c r="G16">
        <v>227</v>
      </c>
      <c r="H16">
        <v>651</v>
      </c>
      <c r="I16">
        <v>0</v>
      </c>
      <c r="J16">
        <v>0</v>
      </c>
      <c r="K16" t="s">
        <v>36</v>
      </c>
    </row>
    <row r="17" spans="1:11" x14ac:dyDescent="0.3">
      <c r="A17" s="34">
        <v>46100</v>
      </c>
      <c r="B17">
        <v>585</v>
      </c>
      <c r="C17">
        <v>1677</v>
      </c>
      <c r="D17">
        <v>4214</v>
      </c>
      <c r="E17">
        <v>22556</v>
      </c>
      <c r="F17">
        <v>62</v>
      </c>
      <c r="G17">
        <v>226</v>
      </c>
      <c r="H17">
        <v>620</v>
      </c>
      <c r="I17">
        <v>0</v>
      </c>
      <c r="J17">
        <v>0</v>
      </c>
      <c r="K17" t="s">
        <v>36</v>
      </c>
    </row>
    <row r="18" spans="1:11" x14ac:dyDescent="0.3">
      <c r="A18" s="34">
        <v>46101</v>
      </c>
      <c r="B18">
        <v>6130</v>
      </c>
      <c r="C18">
        <v>8314</v>
      </c>
      <c r="D18">
        <v>3852</v>
      </c>
      <c r="E18">
        <v>21624</v>
      </c>
      <c r="F18">
        <v>63</v>
      </c>
      <c r="G18">
        <v>210</v>
      </c>
      <c r="H18">
        <v>607</v>
      </c>
      <c r="I18">
        <v>0</v>
      </c>
      <c r="J18">
        <v>0</v>
      </c>
      <c r="K18" t="s">
        <v>36</v>
      </c>
    </row>
    <row r="19" spans="1:11" x14ac:dyDescent="0.3">
      <c r="A19" s="34">
        <v>46102</v>
      </c>
      <c r="B19">
        <v>5729</v>
      </c>
      <c r="C19">
        <v>8362</v>
      </c>
      <c r="D19">
        <v>3562</v>
      </c>
      <c r="E19">
        <v>20584</v>
      </c>
      <c r="F19">
        <v>66</v>
      </c>
      <c r="G19">
        <v>205</v>
      </c>
      <c r="H19">
        <v>563</v>
      </c>
      <c r="I19">
        <v>0</v>
      </c>
      <c r="J19">
        <v>0</v>
      </c>
      <c r="K19" t="s">
        <v>36</v>
      </c>
    </row>
    <row r="20" spans="1:11" x14ac:dyDescent="0.3">
      <c r="A20" s="34">
        <v>46103</v>
      </c>
      <c r="B20">
        <v>5351</v>
      </c>
      <c r="C20">
        <v>8380</v>
      </c>
      <c r="D20">
        <v>3325</v>
      </c>
      <c r="E20">
        <v>19808</v>
      </c>
      <c r="F20">
        <v>62</v>
      </c>
      <c r="G20">
        <v>202</v>
      </c>
      <c r="H20">
        <v>553</v>
      </c>
      <c r="I20">
        <v>0</v>
      </c>
      <c r="J20">
        <v>0</v>
      </c>
      <c r="K20" t="s">
        <v>36</v>
      </c>
    </row>
    <row r="21" spans="1:11" x14ac:dyDescent="0.3">
      <c r="A21" s="34">
        <v>46104</v>
      </c>
      <c r="B21">
        <v>4954</v>
      </c>
      <c r="C21">
        <v>8381</v>
      </c>
      <c r="D21">
        <v>3057</v>
      </c>
      <c r="E21">
        <v>19100</v>
      </c>
      <c r="F21">
        <v>66</v>
      </c>
      <c r="G21">
        <v>199</v>
      </c>
      <c r="H21">
        <v>534</v>
      </c>
      <c r="I21">
        <v>0</v>
      </c>
      <c r="J21">
        <v>0</v>
      </c>
      <c r="K21" t="s">
        <v>36</v>
      </c>
    </row>
    <row r="22" spans="1:11" x14ac:dyDescent="0.3">
      <c r="A22" s="34">
        <v>46105</v>
      </c>
      <c r="B22">
        <v>6346</v>
      </c>
      <c r="C22">
        <v>6929</v>
      </c>
      <c r="D22">
        <v>2683</v>
      </c>
      <c r="E22">
        <v>18400</v>
      </c>
      <c r="F22">
        <v>61</v>
      </c>
      <c r="G22">
        <v>182</v>
      </c>
      <c r="H22">
        <v>500</v>
      </c>
      <c r="I22">
        <v>0</v>
      </c>
      <c r="J22">
        <v>0</v>
      </c>
      <c r="K22" t="s">
        <v>36</v>
      </c>
    </row>
    <row r="23" spans="1:11" x14ac:dyDescent="0.3">
      <c r="A23" s="34">
        <v>46106</v>
      </c>
      <c r="B23">
        <v>5750</v>
      </c>
      <c r="C23">
        <v>6975</v>
      </c>
      <c r="D23">
        <v>2398</v>
      </c>
      <c r="E23">
        <v>17108</v>
      </c>
      <c r="F23">
        <v>40</v>
      </c>
      <c r="G23">
        <v>193</v>
      </c>
      <c r="H23">
        <v>471</v>
      </c>
      <c r="I23">
        <v>0</v>
      </c>
      <c r="J23">
        <v>0</v>
      </c>
      <c r="K23" t="s">
        <v>36</v>
      </c>
    </row>
    <row r="24" spans="1:11" x14ac:dyDescent="0.3">
      <c r="A24" s="34">
        <v>46107</v>
      </c>
      <c r="B24">
        <v>5542</v>
      </c>
      <c r="C24">
        <v>6991</v>
      </c>
      <c r="D24">
        <v>2186</v>
      </c>
      <c r="E24">
        <v>15672</v>
      </c>
      <c r="F24">
        <v>53</v>
      </c>
      <c r="G24">
        <v>197</v>
      </c>
      <c r="H24">
        <v>452</v>
      </c>
      <c r="I24">
        <v>0</v>
      </c>
      <c r="J24">
        <v>0</v>
      </c>
      <c r="K24" t="s">
        <v>36</v>
      </c>
    </row>
    <row r="25" spans="1:11" x14ac:dyDescent="0.3">
      <c r="A25" s="34">
        <v>46108</v>
      </c>
      <c r="B25">
        <v>5152</v>
      </c>
      <c r="C25">
        <v>6972</v>
      </c>
      <c r="D25">
        <v>2038</v>
      </c>
      <c r="E25">
        <v>14064</v>
      </c>
      <c r="F25">
        <v>74</v>
      </c>
      <c r="G25">
        <v>189</v>
      </c>
      <c r="H25">
        <v>425</v>
      </c>
      <c r="I25">
        <v>0</v>
      </c>
      <c r="J25">
        <v>0</v>
      </c>
      <c r="K25" t="s">
        <v>36</v>
      </c>
    </row>
    <row r="26" spans="1:11" x14ac:dyDescent="0.3">
      <c r="A26" s="34">
        <v>46109</v>
      </c>
      <c r="B26">
        <v>4938</v>
      </c>
      <c r="C26">
        <v>6986</v>
      </c>
      <c r="D26">
        <v>1974</v>
      </c>
      <c r="E26">
        <v>13236</v>
      </c>
      <c r="F26">
        <v>57</v>
      </c>
      <c r="G26">
        <v>195</v>
      </c>
      <c r="H26">
        <v>399</v>
      </c>
      <c r="I26">
        <v>0</v>
      </c>
      <c r="J26">
        <v>0</v>
      </c>
      <c r="K26" t="s">
        <v>36</v>
      </c>
    </row>
    <row r="27" spans="1:11" x14ac:dyDescent="0.3">
      <c r="A27" s="34">
        <v>46110</v>
      </c>
      <c r="B27">
        <v>4730</v>
      </c>
      <c r="C27">
        <v>6973</v>
      </c>
      <c r="D27">
        <v>1948</v>
      </c>
      <c r="E27">
        <v>13036</v>
      </c>
      <c r="F27">
        <v>49</v>
      </c>
      <c r="G27">
        <v>194</v>
      </c>
      <c r="H27">
        <v>373</v>
      </c>
      <c r="I27">
        <v>0</v>
      </c>
      <c r="J27">
        <v>0</v>
      </c>
      <c r="K27" t="s">
        <v>36</v>
      </c>
    </row>
    <row r="28" spans="1:11" x14ac:dyDescent="0.3">
      <c r="A28" s="34">
        <v>46111</v>
      </c>
      <c r="B28">
        <v>4712</v>
      </c>
      <c r="C28">
        <v>6967</v>
      </c>
      <c r="D28">
        <v>1848</v>
      </c>
      <c r="E28">
        <v>12777</v>
      </c>
      <c r="F28">
        <v>40</v>
      </c>
      <c r="G28">
        <v>188</v>
      </c>
      <c r="H28">
        <v>359</v>
      </c>
      <c r="I28">
        <v>0</v>
      </c>
      <c r="J28">
        <v>0</v>
      </c>
      <c r="K28" t="s">
        <v>36</v>
      </c>
    </row>
    <row r="29" spans="1:11" x14ac:dyDescent="0.3">
      <c r="A29" s="34">
        <v>46112</v>
      </c>
      <c r="B29">
        <v>4732</v>
      </c>
      <c r="C29">
        <v>6980</v>
      </c>
      <c r="D29">
        <v>1861</v>
      </c>
      <c r="E29">
        <v>12424</v>
      </c>
      <c r="F29">
        <v>40</v>
      </c>
      <c r="G29">
        <v>199</v>
      </c>
      <c r="H29">
        <v>354</v>
      </c>
      <c r="I29">
        <v>0</v>
      </c>
      <c r="J29">
        <v>0</v>
      </c>
      <c r="K29" t="s">
        <v>36</v>
      </c>
    </row>
    <row r="30" spans="1:11" x14ac:dyDescent="0.3">
      <c r="A30" s="34">
        <v>46113</v>
      </c>
      <c r="B30">
        <v>1190</v>
      </c>
      <c r="C30">
        <v>6988</v>
      </c>
      <c r="D30">
        <v>2095</v>
      </c>
      <c r="E30">
        <v>12476</v>
      </c>
      <c r="F30">
        <v>36</v>
      </c>
      <c r="G30">
        <v>205</v>
      </c>
      <c r="H30">
        <v>878</v>
      </c>
      <c r="I30">
        <v>0</v>
      </c>
      <c r="J30">
        <v>0</v>
      </c>
      <c r="K30" t="s">
        <v>36</v>
      </c>
    </row>
    <row r="31" spans="1:11" x14ac:dyDescent="0.3">
      <c r="A31" s="34">
        <v>46114</v>
      </c>
      <c r="B31">
        <v>1183</v>
      </c>
      <c r="C31">
        <v>6829</v>
      </c>
      <c r="D31">
        <v>2163</v>
      </c>
      <c r="E31">
        <v>12985</v>
      </c>
      <c r="F31">
        <v>28</v>
      </c>
      <c r="G31">
        <v>177</v>
      </c>
      <c r="H31">
        <v>1163</v>
      </c>
      <c r="I31">
        <v>0</v>
      </c>
      <c r="J31">
        <v>0</v>
      </c>
      <c r="K31" t="s">
        <v>36</v>
      </c>
    </row>
    <row r="32" spans="1:11" x14ac:dyDescent="0.3">
      <c r="A32" s="34">
        <v>46115</v>
      </c>
      <c r="B32">
        <v>1180</v>
      </c>
      <c r="C32">
        <v>6955</v>
      </c>
      <c r="D32">
        <v>2316</v>
      </c>
      <c r="E32">
        <v>14567</v>
      </c>
      <c r="F32">
        <v>28</v>
      </c>
      <c r="G32">
        <v>187</v>
      </c>
      <c r="H32">
        <v>1176</v>
      </c>
      <c r="I32">
        <v>0</v>
      </c>
      <c r="J32">
        <v>0</v>
      </c>
      <c r="K32" t="s">
        <v>36</v>
      </c>
    </row>
    <row r="33" spans="1:11" x14ac:dyDescent="0.3">
      <c r="A33" s="34">
        <v>46116</v>
      </c>
      <c r="B33">
        <v>1190</v>
      </c>
      <c r="C33">
        <v>6954</v>
      </c>
      <c r="D33">
        <v>2478</v>
      </c>
      <c r="E33">
        <v>15390</v>
      </c>
      <c r="F33">
        <v>29</v>
      </c>
      <c r="G33">
        <v>180</v>
      </c>
      <c r="H33">
        <v>900</v>
      </c>
      <c r="I33">
        <v>0</v>
      </c>
      <c r="J33">
        <v>0</v>
      </c>
      <c r="K33" t="s">
        <v>36</v>
      </c>
    </row>
    <row r="34" spans="1:11" x14ac:dyDescent="0.3">
      <c r="A34" s="34">
        <v>46117</v>
      </c>
      <c r="B34">
        <v>1183</v>
      </c>
      <c r="C34">
        <v>6961</v>
      </c>
      <c r="D34">
        <v>2564</v>
      </c>
      <c r="E34">
        <v>15112</v>
      </c>
      <c r="F34">
        <v>69</v>
      </c>
      <c r="G34">
        <v>179</v>
      </c>
      <c r="H34">
        <v>770</v>
      </c>
      <c r="I34">
        <v>0</v>
      </c>
      <c r="J34">
        <v>0</v>
      </c>
      <c r="K34" t="s">
        <v>36</v>
      </c>
    </row>
    <row r="35" spans="1:11" x14ac:dyDescent="0.3">
      <c r="A35" s="34">
        <v>46118</v>
      </c>
      <c r="B35">
        <v>1190</v>
      </c>
      <c r="C35">
        <v>6942</v>
      </c>
      <c r="D35">
        <v>2645</v>
      </c>
      <c r="E35">
        <v>13917</v>
      </c>
      <c r="F35">
        <v>69</v>
      </c>
      <c r="G35">
        <v>179</v>
      </c>
      <c r="H35">
        <v>675</v>
      </c>
      <c r="I35">
        <v>0</v>
      </c>
      <c r="J35">
        <v>0</v>
      </c>
      <c r="K35" t="s">
        <v>37</v>
      </c>
    </row>
    <row r="36" spans="1:11" x14ac:dyDescent="0.3">
      <c r="A36" s="34">
        <v>46119</v>
      </c>
      <c r="B36">
        <v>1190</v>
      </c>
      <c r="C36">
        <v>6942</v>
      </c>
      <c r="D36">
        <v>2637</v>
      </c>
      <c r="E36">
        <v>13022</v>
      </c>
      <c r="F36">
        <v>69</v>
      </c>
      <c r="G36">
        <v>179</v>
      </c>
      <c r="H36">
        <v>578</v>
      </c>
      <c r="I36">
        <v>0</v>
      </c>
      <c r="J36">
        <v>0</v>
      </c>
      <c r="K36" t="s">
        <v>37</v>
      </c>
    </row>
    <row r="37" spans="1:11" x14ac:dyDescent="0.3">
      <c r="A37" s="34">
        <v>46120</v>
      </c>
      <c r="B37">
        <v>1190</v>
      </c>
      <c r="C37">
        <v>6942</v>
      </c>
      <c r="D37">
        <v>2604</v>
      </c>
      <c r="E37">
        <v>12783</v>
      </c>
      <c r="F37">
        <v>69</v>
      </c>
      <c r="G37">
        <v>179</v>
      </c>
      <c r="H37">
        <v>506</v>
      </c>
      <c r="I37">
        <v>0</v>
      </c>
      <c r="J37">
        <v>0</v>
      </c>
      <c r="K37" t="s">
        <v>37</v>
      </c>
    </row>
    <row r="38" spans="1:11" x14ac:dyDescent="0.3">
      <c r="A38" s="34">
        <v>46121</v>
      </c>
      <c r="B38">
        <v>1190</v>
      </c>
      <c r="C38">
        <v>6942</v>
      </c>
      <c r="D38">
        <v>2572</v>
      </c>
      <c r="E38">
        <v>12865</v>
      </c>
      <c r="F38">
        <v>69</v>
      </c>
      <c r="G38">
        <v>179</v>
      </c>
      <c r="H38">
        <v>456</v>
      </c>
      <c r="I38">
        <v>0</v>
      </c>
      <c r="J38">
        <v>0</v>
      </c>
      <c r="K38" t="s">
        <v>37</v>
      </c>
    </row>
    <row r="39" spans="1:11" x14ac:dyDescent="0.3">
      <c r="A39" s="34">
        <v>46122</v>
      </c>
      <c r="B39">
        <v>1190</v>
      </c>
      <c r="C39">
        <v>6942</v>
      </c>
      <c r="D39">
        <v>2547</v>
      </c>
      <c r="E39">
        <v>13590</v>
      </c>
      <c r="F39">
        <v>69</v>
      </c>
      <c r="G39">
        <v>179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34">
        <v>46123</v>
      </c>
      <c r="B40">
        <v>1190</v>
      </c>
      <c r="C40">
        <v>6942</v>
      </c>
      <c r="D40">
        <v>2500</v>
      </c>
      <c r="E40">
        <v>15314</v>
      </c>
      <c r="F40">
        <v>69</v>
      </c>
      <c r="G40">
        <v>179</v>
      </c>
      <c r="H40">
        <v>510</v>
      </c>
      <c r="I40">
        <v>0</v>
      </c>
      <c r="J40">
        <v>0</v>
      </c>
      <c r="K40" t="s">
        <v>37</v>
      </c>
    </row>
    <row r="41" spans="1:11" x14ac:dyDescent="0.3">
      <c r="A41" s="34">
        <v>46124</v>
      </c>
      <c r="B41">
        <v>1190</v>
      </c>
      <c r="C41">
        <v>6942</v>
      </c>
      <c r="D41">
        <v>2450</v>
      </c>
      <c r="E41">
        <v>16511</v>
      </c>
      <c r="F41">
        <v>69</v>
      </c>
      <c r="G41">
        <v>179</v>
      </c>
      <c r="H41">
        <v>510</v>
      </c>
      <c r="I41">
        <v>0</v>
      </c>
      <c r="J41">
        <v>0</v>
      </c>
      <c r="K41" t="s">
        <v>37</v>
      </c>
    </row>
    <row r="42" spans="1:11" x14ac:dyDescent="0.3">
      <c r="A42" s="34">
        <v>46125</v>
      </c>
      <c r="B42">
        <v>1190</v>
      </c>
      <c r="C42">
        <v>1785</v>
      </c>
      <c r="D42">
        <v>2400</v>
      </c>
      <c r="E42">
        <v>16887</v>
      </c>
      <c r="F42">
        <v>69</v>
      </c>
      <c r="G42">
        <v>179</v>
      </c>
      <c r="H42">
        <v>510</v>
      </c>
      <c r="I42">
        <v>0</v>
      </c>
      <c r="J42">
        <v>0</v>
      </c>
      <c r="K42" t="s">
        <v>37</v>
      </c>
    </row>
    <row r="43" spans="1:11" x14ac:dyDescent="0.3">
      <c r="A43" s="34">
        <v>46126</v>
      </c>
      <c r="B43">
        <v>1190</v>
      </c>
      <c r="C43">
        <v>1785</v>
      </c>
      <c r="D43">
        <v>2350</v>
      </c>
      <c r="E43">
        <v>16858</v>
      </c>
      <c r="F43">
        <v>69</v>
      </c>
      <c r="G43">
        <v>179</v>
      </c>
      <c r="H43">
        <v>510</v>
      </c>
      <c r="I43">
        <v>0</v>
      </c>
      <c r="J43">
        <v>0</v>
      </c>
      <c r="K43" t="s">
        <v>37</v>
      </c>
    </row>
    <row r="44" spans="1:11" x14ac:dyDescent="0.3">
      <c r="A44" s="34">
        <v>46127</v>
      </c>
      <c r="B44">
        <v>1190</v>
      </c>
      <c r="C44">
        <v>1785</v>
      </c>
      <c r="D44">
        <v>2300</v>
      </c>
      <c r="E44">
        <v>16705</v>
      </c>
      <c r="F44">
        <v>69</v>
      </c>
      <c r="G44">
        <v>179</v>
      </c>
      <c r="H44">
        <v>510</v>
      </c>
      <c r="I44">
        <v>0</v>
      </c>
      <c r="J44">
        <v>0</v>
      </c>
      <c r="K44" t="s">
        <v>37</v>
      </c>
    </row>
    <row r="45" spans="1:11" x14ac:dyDescent="0.3">
      <c r="A45" s="34">
        <v>46128</v>
      </c>
      <c r="B45">
        <v>1190</v>
      </c>
      <c r="C45">
        <v>1785</v>
      </c>
      <c r="D45">
        <v>2250</v>
      </c>
      <c r="E45">
        <v>16000</v>
      </c>
      <c r="F45">
        <v>69</v>
      </c>
      <c r="G45">
        <v>179</v>
      </c>
      <c r="H45">
        <v>510</v>
      </c>
      <c r="I45">
        <v>0</v>
      </c>
      <c r="J45">
        <v>0</v>
      </c>
      <c r="K45" t="s">
        <v>37</v>
      </c>
    </row>
    <row r="46" spans="1:11" x14ac:dyDescent="0.3">
      <c r="A46" s="34">
        <v>46129</v>
      </c>
      <c r="B46">
        <v>1190</v>
      </c>
      <c r="C46">
        <v>1785</v>
      </c>
      <c r="D46">
        <v>2200</v>
      </c>
      <c r="E46">
        <v>15000</v>
      </c>
      <c r="F46">
        <v>69</v>
      </c>
      <c r="G46">
        <v>179</v>
      </c>
      <c r="H46">
        <v>510</v>
      </c>
      <c r="I46">
        <v>0</v>
      </c>
      <c r="J46">
        <v>0</v>
      </c>
      <c r="K46" t="s">
        <v>37</v>
      </c>
    </row>
    <row r="47" spans="1:11" x14ac:dyDescent="0.3">
      <c r="A47" s="34">
        <v>46130</v>
      </c>
      <c r="B47">
        <v>1190</v>
      </c>
      <c r="C47">
        <v>1785</v>
      </c>
      <c r="D47">
        <v>2200</v>
      </c>
      <c r="E47">
        <v>14000</v>
      </c>
      <c r="F47">
        <v>69</v>
      </c>
      <c r="G47">
        <v>179</v>
      </c>
      <c r="H47">
        <v>510</v>
      </c>
      <c r="I47">
        <v>0</v>
      </c>
      <c r="J47">
        <v>0</v>
      </c>
      <c r="K47" t="s">
        <v>37</v>
      </c>
    </row>
    <row r="48" spans="1:11" x14ac:dyDescent="0.3">
      <c r="A48" s="34">
        <v>46131</v>
      </c>
      <c r="B48">
        <v>1190</v>
      </c>
      <c r="C48">
        <v>1785</v>
      </c>
      <c r="D48">
        <v>2200</v>
      </c>
      <c r="E48">
        <v>13000</v>
      </c>
      <c r="F48">
        <v>69</v>
      </c>
      <c r="G48">
        <v>179</v>
      </c>
      <c r="H48">
        <v>510</v>
      </c>
      <c r="I48">
        <v>0</v>
      </c>
      <c r="J48">
        <v>0</v>
      </c>
      <c r="K48" t="s">
        <v>37</v>
      </c>
    </row>
    <row r="49" spans="1:11" x14ac:dyDescent="0.3">
      <c r="A49" s="34">
        <v>46132</v>
      </c>
      <c r="B49">
        <v>1190</v>
      </c>
      <c r="C49">
        <v>1785</v>
      </c>
      <c r="D49">
        <v>2200</v>
      </c>
      <c r="E49">
        <v>13000</v>
      </c>
      <c r="F49">
        <v>69</v>
      </c>
      <c r="G49">
        <v>179</v>
      </c>
      <c r="H49">
        <v>510</v>
      </c>
      <c r="I49">
        <v>0</v>
      </c>
      <c r="J49">
        <v>0</v>
      </c>
      <c r="K49" t="s">
        <v>37</v>
      </c>
    </row>
    <row r="50" spans="1:11" x14ac:dyDescent="0.3">
      <c r="A50" s="34">
        <v>46133</v>
      </c>
      <c r="B50">
        <v>1190</v>
      </c>
      <c r="C50">
        <v>1785</v>
      </c>
      <c r="D50">
        <v>2200</v>
      </c>
      <c r="E50">
        <v>13000</v>
      </c>
      <c r="F50">
        <v>69</v>
      </c>
      <c r="G50">
        <v>179</v>
      </c>
      <c r="H50">
        <v>510</v>
      </c>
      <c r="I50">
        <v>0</v>
      </c>
      <c r="J50">
        <v>0</v>
      </c>
      <c r="K50" t="s">
        <v>37</v>
      </c>
    </row>
    <row r="51" spans="1:11" x14ac:dyDescent="0.3">
      <c r="A51" s="34">
        <v>46134</v>
      </c>
      <c r="B51">
        <v>1190</v>
      </c>
      <c r="C51">
        <v>1785</v>
      </c>
      <c r="D51">
        <v>2200</v>
      </c>
      <c r="E51">
        <v>13000</v>
      </c>
      <c r="F51">
        <v>69</v>
      </c>
      <c r="G51">
        <v>179</v>
      </c>
      <c r="H51">
        <v>510</v>
      </c>
      <c r="I51">
        <v>0</v>
      </c>
      <c r="J51">
        <v>0</v>
      </c>
      <c r="K51" t="s">
        <v>37</v>
      </c>
    </row>
    <row r="52" spans="1:11" x14ac:dyDescent="0.3">
      <c r="A52" s="34">
        <v>46135</v>
      </c>
      <c r="B52">
        <v>1190</v>
      </c>
      <c r="C52">
        <v>1785</v>
      </c>
      <c r="D52">
        <v>2200</v>
      </c>
      <c r="E52">
        <v>13000</v>
      </c>
      <c r="F52">
        <v>69</v>
      </c>
      <c r="G52">
        <v>179</v>
      </c>
      <c r="H52">
        <v>510</v>
      </c>
      <c r="I52">
        <v>0</v>
      </c>
      <c r="J52">
        <v>0</v>
      </c>
      <c r="K52" t="s">
        <v>37</v>
      </c>
    </row>
    <row r="53" spans="1:11" x14ac:dyDescent="0.3">
      <c r="A53" s="34">
        <v>46136</v>
      </c>
      <c r="B53">
        <v>1190</v>
      </c>
      <c r="C53">
        <v>1785</v>
      </c>
      <c r="D53">
        <v>2200</v>
      </c>
      <c r="E53">
        <v>13000</v>
      </c>
      <c r="F53">
        <v>69</v>
      </c>
      <c r="G53">
        <v>179</v>
      </c>
      <c r="H53">
        <v>510</v>
      </c>
      <c r="I53">
        <v>0</v>
      </c>
      <c r="J53">
        <v>0</v>
      </c>
      <c r="K53" t="s">
        <v>37</v>
      </c>
    </row>
    <row r="54" spans="1:11" x14ac:dyDescent="0.3">
      <c r="A54" s="34">
        <v>46137</v>
      </c>
      <c r="B54">
        <v>1190</v>
      </c>
      <c r="C54">
        <v>1785</v>
      </c>
      <c r="D54">
        <v>2200</v>
      </c>
      <c r="E54">
        <v>13000</v>
      </c>
      <c r="F54">
        <v>69</v>
      </c>
      <c r="G54">
        <v>179</v>
      </c>
      <c r="H54">
        <v>510</v>
      </c>
      <c r="I54">
        <v>0</v>
      </c>
      <c r="J54">
        <v>0</v>
      </c>
      <c r="K54" t="s">
        <v>37</v>
      </c>
    </row>
    <row r="55" spans="1:11" x14ac:dyDescent="0.3">
      <c r="A55" s="34">
        <v>46138</v>
      </c>
      <c r="B55">
        <v>1190</v>
      </c>
      <c r="C55">
        <v>1785</v>
      </c>
      <c r="D55">
        <v>2200</v>
      </c>
      <c r="E55">
        <v>13000</v>
      </c>
      <c r="F55">
        <v>69</v>
      </c>
      <c r="G55">
        <v>179</v>
      </c>
      <c r="H55">
        <v>510</v>
      </c>
      <c r="I55">
        <v>0</v>
      </c>
      <c r="J55">
        <v>0</v>
      </c>
      <c r="K55" t="s">
        <v>37</v>
      </c>
    </row>
    <row r="56" spans="1:11" x14ac:dyDescent="0.3">
      <c r="A56" s="34">
        <v>46139</v>
      </c>
      <c r="B56">
        <v>1190</v>
      </c>
      <c r="C56">
        <v>1785</v>
      </c>
      <c r="D56">
        <v>2200</v>
      </c>
      <c r="E56">
        <v>13000</v>
      </c>
      <c r="F56">
        <v>69</v>
      </c>
      <c r="G56">
        <v>179</v>
      </c>
      <c r="H56">
        <v>510</v>
      </c>
      <c r="I56">
        <v>0</v>
      </c>
      <c r="J56">
        <v>0</v>
      </c>
      <c r="K56" t="s">
        <v>37</v>
      </c>
    </row>
    <row r="57" spans="1:11" x14ac:dyDescent="0.3">
      <c r="A57" s="34">
        <v>46140</v>
      </c>
      <c r="B57">
        <v>1190</v>
      </c>
      <c r="C57">
        <v>1785</v>
      </c>
      <c r="D57">
        <v>2200</v>
      </c>
      <c r="E57">
        <v>13000</v>
      </c>
      <c r="F57">
        <v>69</v>
      </c>
      <c r="G57">
        <v>179</v>
      </c>
      <c r="H57">
        <v>510</v>
      </c>
      <c r="I57">
        <v>0</v>
      </c>
      <c r="J57">
        <v>0</v>
      </c>
      <c r="K57" t="s">
        <v>37</v>
      </c>
    </row>
    <row r="58" spans="1:11" x14ac:dyDescent="0.3">
      <c r="A58" s="34">
        <v>46141</v>
      </c>
      <c r="B58">
        <v>1190</v>
      </c>
      <c r="C58">
        <v>1785</v>
      </c>
      <c r="D58">
        <v>2200</v>
      </c>
      <c r="E58">
        <v>13000</v>
      </c>
      <c r="F58">
        <v>69</v>
      </c>
      <c r="G58">
        <v>179</v>
      </c>
      <c r="H58">
        <v>510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8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C62" sqref="C62"/>
    </sheetView>
  </sheetViews>
  <sheetFormatPr defaultRowHeight="14.4" x14ac:dyDescent="0.3"/>
  <cols>
    <col min="1" max="1" width="11.332031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46087</v>
      </c>
      <c r="B4">
        <v>8329</v>
      </c>
      <c r="C4">
        <v>8351</v>
      </c>
      <c r="D4">
        <v>6106</v>
      </c>
      <c r="E4">
        <v>50104</v>
      </c>
      <c r="F4">
        <v>104</v>
      </c>
      <c r="G4">
        <v>359</v>
      </c>
      <c r="H4">
        <v>1365</v>
      </c>
      <c r="I4">
        <v>0</v>
      </c>
      <c r="J4">
        <v>0</v>
      </c>
      <c r="K4" t="s">
        <v>36</v>
      </c>
    </row>
    <row r="5" spans="1:13" x14ac:dyDescent="0.3">
      <c r="A5" s="34">
        <v>46088</v>
      </c>
      <c r="B5">
        <v>8121</v>
      </c>
      <c r="C5">
        <v>8367</v>
      </c>
      <c r="D5">
        <v>5683</v>
      </c>
      <c r="E5">
        <v>46516</v>
      </c>
      <c r="F5">
        <v>105</v>
      </c>
      <c r="G5">
        <v>352</v>
      </c>
      <c r="H5">
        <v>1207</v>
      </c>
      <c r="I5">
        <v>0</v>
      </c>
      <c r="J5">
        <v>0</v>
      </c>
      <c r="K5" t="s">
        <v>36</v>
      </c>
    </row>
    <row r="6" spans="1:13" x14ac:dyDescent="0.3">
      <c r="A6" s="34">
        <v>46089</v>
      </c>
      <c r="B6">
        <v>7409</v>
      </c>
      <c r="C6">
        <v>8024</v>
      </c>
      <c r="D6">
        <v>5345</v>
      </c>
      <c r="E6">
        <v>43272</v>
      </c>
      <c r="F6">
        <v>112</v>
      </c>
      <c r="G6">
        <v>353</v>
      </c>
      <c r="H6">
        <v>1108</v>
      </c>
      <c r="I6">
        <v>0</v>
      </c>
      <c r="J6">
        <v>0</v>
      </c>
      <c r="K6" t="s">
        <v>36</v>
      </c>
    </row>
    <row r="7" spans="1:13" x14ac:dyDescent="0.3">
      <c r="A7" s="34">
        <v>46090</v>
      </c>
      <c r="B7">
        <v>7120</v>
      </c>
      <c r="C7">
        <v>8399</v>
      </c>
      <c r="D7">
        <v>5186</v>
      </c>
      <c r="E7">
        <v>40656</v>
      </c>
      <c r="F7">
        <v>114</v>
      </c>
      <c r="G7">
        <v>357</v>
      </c>
      <c r="H7">
        <v>1065</v>
      </c>
      <c r="I7">
        <v>0</v>
      </c>
      <c r="J7">
        <v>0</v>
      </c>
      <c r="K7" t="s">
        <v>36</v>
      </c>
    </row>
    <row r="8" spans="1:13" x14ac:dyDescent="0.3">
      <c r="A8" s="34">
        <v>46091</v>
      </c>
      <c r="B8">
        <v>7321</v>
      </c>
      <c r="C8">
        <v>8397</v>
      </c>
      <c r="D8">
        <v>5019</v>
      </c>
      <c r="E8">
        <v>39212</v>
      </c>
      <c r="F8">
        <v>78</v>
      </c>
      <c r="G8">
        <v>342</v>
      </c>
      <c r="H8">
        <v>1011</v>
      </c>
      <c r="I8">
        <v>0</v>
      </c>
      <c r="J8">
        <v>0</v>
      </c>
      <c r="K8" t="s">
        <v>36</v>
      </c>
    </row>
    <row r="9" spans="1:13" x14ac:dyDescent="0.3">
      <c r="A9" s="34">
        <v>46092</v>
      </c>
      <c r="B9">
        <v>6928</v>
      </c>
      <c r="C9">
        <v>8361</v>
      </c>
      <c r="D9">
        <v>4919</v>
      </c>
      <c r="E9">
        <v>37076</v>
      </c>
      <c r="F9">
        <v>54</v>
      </c>
      <c r="G9">
        <v>342</v>
      </c>
      <c r="H9">
        <v>949</v>
      </c>
      <c r="I9">
        <v>0</v>
      </c>
      <c r="J9">
        <v>0</v>
      </c>
      <c r="K9" t="s">
        <v>36</v>
      </c>
    </row>
    <row r="10" spans="1:13" x14ac:dyDescent="0.3">
      <c r="A10" s="34">
        <v>46093</v>
      </c>
      <c r="B10">
        <v>6942</v>
      </c>
      <c r="C10">
        <v>8353</v>
      </c>
      <c r="D10">
        <v>4792</v>
      </c>
      <c r="E10">
        <v>34136</v>
      </c>
      <c r="F10">
        <v>50</v>
      </c>
      <c r="G10">
        <v>331</v>
      </c>
      <c r="H10">
        <v>881</v>
      </c>
      <c r="I10">
        <v>0</v>
      </c>
      <c r="J10">
        <v>0</v>
      </c>
      <c r="K10" t="s">
        <v>36</v>
      </c>
    </row>
    <row r="11" spans="1:13" x14ac:dyDescent="0.3">
      <c r="A11" s="34">
        <v>46094</v>
      </c>
      <c r="B11">
        <v>6740</v>
      </c>
      <c r="C11">
        <v>8370</v>
      </c>
      <c r="D11">
        <v>4728</v>
      </c>
      <c r="E11">
        <v>30884</v>
      </c>
      <c r="F11">
        <v>54</v>
      </c>
      <c r="G11">
        <v>335</v>
      </c>
      <c r="H11">
        <v>839</v>
      </c>
      <c r="I11">
        <v>0</v>
      </c>
      <c r="J11">
        <v>0</v>
      </c>
      <c r="K11" t="s">
        <v>36</v>
      </c>
    </row>
    <row r="12" spans="1:13" x14ac:dyDescent="0.3">
      <c r="A12" s="34">
        <v>46095</v>
      </c>
      <c r="B12">
        <v>6528</v>
      </c>
      <c r="C12">
        <v>8378</v>
      </c>
      <c r="D12">
        <v>4813</v>
      </c>
      <c r="E12">
        <v>28720</v>
      </c>
      <c r="F12">
        <v>60</v>
      </c>
      <c r="G12">
        <v>330</v>
      </c>
      <c r="H12">
        <v>800</v>
      </c>
      <c r="I12">
        <v>0</v>
      </c>
      <c r="J12">
        <v>0</v>
      </c>
      <c r="K12" t="s">
        <v>36</v>
      </c>
    </row>
    <row r="13" spans="1:13" x14ac:dyDescent="0.3">
      <c r="A13" s="34">
        <v>46096</v>
      </c>
      <c r="B13">
        <v>6536</v>
      </c>
      <c r="C13">
        <v>8359</v>
      </c>
      <c r="D13">
        <v>4885</v>
      </c>
      <c r="E13">
        <v>27508</v>
      </c>
      <c r="F13">
        <v>63</v>
      </c>
      <c r="G13">
        <v>294</v>
      </c>
      <c r="H13">
        <v>755</v>
      </c>
      <c r="I13">
        <v>0</v>
      </c>
      <c r="J13">
        <v>0</v>
      </c>
      <c r="K13" t="s">
        <v>36</v>
      </c>
    </row>
    <row r="14" spans="1:13" x14ac:dyDescent="0.3">
      <c r="A14" s="34">
        <v>46097</v>
      </c>
      <c r="B14">
        <v>6005</v>
      </c>
      <c r="C14">
        <v>8343</v>
      </c>
      <c r="D14">
        <v>4883</v>
      </c>
      <c r="E14">
        <v>26652</v>
      </c>
      <c r="F14">
        <v>58</v>
      </c>
      <c r="G14">
        <v>236</v>
      </c>
      <c r="H14">
        <v>723</v>
      </c>
      <c r="I14">
        <v>0</v>
      </c>
      <c r="J14">
        <v>0</v>
      </c>
      <c r="K14" t="s">
        <v>36</v>
      </c>
    </row>
    <row r="15" spans="1:13" x14ac:dyDescent="0.3">
      <c r="A15" s="34">
        <v>46098</v>
      </c>
      <c r="B15">
        <v>6736</v>
      </c>
      <c r="C15">
        <v>8358</v>
      </c>
      <c r="D15">
        <v>4741</v>
      </c>
      <c r="E15">
        <v>25584</v>
      </c>
      <c r="F15">
        <v>63</v>
      </c>
      <c r="G15">
        <v>226</v>
      </c>
      <c r="H15">
        <v>708</v>
      </c>
      <c r="I15">
        <v>0</v>
      </c>
      <c r="J15">
        <v>0</v>
      </c>
      <c r="K15" t="s">
        <v>36</v>
      </c>
    </row>
    <row r="16" spans="1:13" x14ac:dyDescent="0.3">
      <c r="A16" s="34">
        <v>46099</v>
      </c>
      <c r="B16">
        <v>6538</v>
      </c>
      <c r="C16">
        <v>8343</v>
      </c>
      <c r="D16">
        <v>4593</v>
      </c>
      <c r="E16">
        <v>24200</v>
      </c>
      <c r="F16">
        <v>58</v>
      </c>
      <c r="G16">
        <v>227</v>
      </c>
      <c r="H16">
        <v>651</v>
      </c>
      <c r="I16">
        <v>0</v>
      </c>
      <c r="J16">
        <v>0</v>
      </c>
      <c r="K16" t="s">
        <v>36</v>
      </c>
    </row>
    <row r="17" spans="1:11" x14ac:dyDescent="0.3">
      <c r="A17" s="34">
        <v>46100</v>
      </c>
      <c r="B17">
        <v>585</v>
      </c>
      <c r="C17">
        <v>1677</v>
      </c>
      <c r="D17">
        <v>4214</v>
      </c>
      <c r="E17">
        <v>22556</v>
      </c>
      <c r="F17">
        <v>62</v>
      </c>
      <c r="G17">
        <v>226</v>
      </c>
      <c r="H17">
        <v>620</v>
      </c>
      <c r="I17">
        <v>0</v>
      </c>
      <c r="J17">
        <v>0</v>
      </c>
      <c r="K17" t="s">
        <v>36</v>
      </c>
    </row>
    <row r="18" spans="1:11" x14ac:dyDescent="0.3">
      <c r="A18" s="34">
        <v>46101</v>
      </c>
      <c r="B18">
        <v>6130</v>
      </c>
      <c r="C18">
        <v>8314</v>
      </c>
      <c r="D18">
        <v>3852</v>
      </c>
      <c r="E18">
        <v>21624</v>
      </c>
      <c r="F18">
        <v>63</v>
      </c>
      <c r="G18">
        <v>210</v>
      </c>
      <c r="H18">
        <v>607</v>
      </c>
      <c r="I18">
        <v>0</v>
      </c>
      <c r="J18">
        <v>0</v>
      </c>
      <c r="K18" t="s">
        <v>36</v>
      </c>
    </row>
    <row r="19" spans="1:11" x14ac:dyDescent="0.3">
      <c r="A19" s="34">
        <v>46102</v>
      </c>
      <c r="B19">
        <v>5729</v>
      </c>
      <c r="C19">
        <v>8362</v>
      </c>
      <c r="D19">
        <v>3562</v>
      </c>
      <c r="E19">
        <v>20584</v>
      </c>
      <c r="F19">
        <v>66</v>
      </c>
      <c r="G19">
        <v>205</v>
      </c>
      <c r="H19">
        <v>563</v>
      </c>
      <c r="I19">
        <v>0</v>
      </c>
      <c r="J19">
        <v>0</v>
      </c>
      <c r="K19" t="s">
        <v>36</v>
      </c>
    </row>
    <row r="20" spans="1:11" x14ac:dyDescent="0.3">
      <c r="A20" s="34">
        <v>46103</v>
      </c>
      <c r="B20">
        <v>5351</v>
      </c>
      <c r="C20">
        <v>8380</v>
      </c>
      <c r="D20">
        <v>3325</v>
      </c>
      <c r="E20">
        <v>19808</v>
      </c>
      <c r="F20">
        <v>62</v>
      </c>
      <c r="G20">
        <v>202</v>
      </c>
      <c r="H20">
        <v>553</v>
      </c>
      <c r="I20">
        <v>0</v>
      </c>
      <c r="J20">
        <v>0</v>
      </c>
      <c r="K20" t="s">
        <v>36</v>
      </c>
    </row>
    <row r="21" spans="1:11" x14ac:dyDescent="0.3">
      <c r="A21" s="34">
        <v>46104</v>
      </c>
      <c r="B21">
        <v>4954</v>
      </c>
      <c r="C21">
        <v>8381</v>
      </c>
      <c r="D21">
        <v>3057</v>
      </c>
      <c r="E21">
        <v>19100</v>
      </c>
      <c r="F21">
        <v>66</v>
      </c>
      <c r="G21">
        <v>199</v>
      </c>
      <c r="H21">
        <v>534</v>
      </c>
      <c r="I21">
        <v>0</v>
      </c>
      <c r="J21">
        <v>0</v>
      </c>
      <c r="K21" t="s">
        <v>36</v>
      </c>
    </row>
    <row r="22" spans="1:11" x14ac:dyDescent="0.3">
      <c r="A22" s="34">
        <v>46105</v>
      </c>
      <c r="B22">
        <v>6346</v>
      </c>
      <c r="C22">
        <v>6929</v>
      </c>
      <c r="D22">
        <v>2683</v>
      </c>
      <c r="E22">
        <v>18400</v>
      </c>
      <c r="F22">
        <v>61</v>
      </c>
      <c r="G22">
        <v>182</v>
      </c>
      <c r="H22">
        <v>500</v>
      </c>
      <c r="I22">
        <v>0</v>
      </c>
      <c r="J22">
        <v>0</v>
      </c>
      <c r="K22" t="s">
        <v>36</v>
      </c>
    </row>
    <row r="23" spans="1:11" x14ac:dyDescent="0.3">
      <c r="A23" s="34">
        <v>46106</v>
      </c>
      <c r="B23">
        <v>5750</v>
      </c>
      <c r="C23">
        <v>6975</v>
      </c>
      <c r="D23">
        <v>2398</v>
      </c>
      <c r="E23">
        <v>17108</v>
      </c>
      <c r="F23">
        <v>40</v>
      </c>
      <c r="G23">
        <v>193</v>
      </c>
      <c r="H23">
        <v>471</v>
      </c>
      <c r="I23">
        <v>0</v>
      </c>
      <c r="J23">
        <v>0</v>
      </c>
      <c r="K23" t="s">
        <v>36</v>
      </c>
    </row>
    <row r="24" spans="1:11" x14ac:dyDescent="0.3">
      <c r="A24" s="34">
        <v>46107</v>
      </c>
      <c r="B24">
        <v>5542</v>
      </c>
      <c r="C24">
        <v>6991</v>
      </c>
      <c r="D24">
        <v>2186</v>
      </c>
      <c r="E24">
        <v>15672</v>
      </c>
      <c r="F24">
        <v>53</v>
      </c>
      <c r="G24">
        <v>197</v>
      </c>
      <c r="H24">
        <v>452</v>
      </c>
      <c r="I24">
        <v>0</v>
      </c>
      <c r="J24">
        <v>0</v>
      </c>
      <c r="K24" t="s">
        <v>36</v>
      </c>
    </row>
    <row r="25" spans="1:11" x14ac:dyDescent="0.3">
      <c r="A25" s="34">
        <v>46108</v>
      </c>
      <c r="B25">
        <v>5152</v>
      </c>
      <c r="C25">
        <v>6972</v>
      </c>
      <c r="D25">
        <v>2038</v>
      </c>
      <c r="E25">
        <v>14064</v>
      </c>
      <c r="F25">
        <v>74</v>
      </c>
      <c r="G25">
        <v>189</v>
      </c>
      <c r="H25">
        <v>425</v>
      </c>
      <c r="I25">
        <v>0</v>
      </c>
      <c r="J25">
        <v>0</v>
      </c>
      <c r="K25" t="s">
        <v>36</v>
      </c>
    </row>
    <row r="26" spans="1:11" x14ac:dyDescent="0.3">
      <c r="A26" s="34">
        <v>46109</v>
      </c>
      <c r="B26">
        <v>4938</v>
      </c>
      <c r="C26">
        <v>6986</v>
      </c>
      <c r="D26">
        <v>1974</v>
      </c>
      <c r="E26">
        <v>13236</v>
      </c>
      <c r="F26">
        <v>57</v>
      </c>
      <c r="G26">
        <v>195</v>
      </c>
      <c r="H26">
        <v>399</v>
      </c>
      <c r="I26">
        <v>0</v>
      </c>
      <c r="J26">
        <v>0</v>
      </c>
      <c r="K26" t="s">
        <v>36</v>
      </c>
    </row>
    <row r="27" spans="1:11" x14ac:dyDescent="0.3">
      <c r="A27" s="34">
        <v>46110</v>
      </c>
      <c r="B27">
        <v>4730</v>
      </c>
      <c r="C27">
        <v>6973</v>
      </c>
      <c r="D27">
        <v>1948</v>
      </c>
      <c r="E27">
        <v>13036</v>
      </c>
      <c r="F27">
        <v>49</v>
      </c>
      <c r="G27">
        <v>194</v>
      </c>
      <c r="H27">
        <v>373</v>
      </c>
      <c r="I27">
        <v>0</v>
      </c>
      <c r="J27">
        <v>0</v>
      </c>
      <c r="K27" t="s">
        <v>36</v>
      </c>
    </row>
    <row r="28" spans="1:11" x14ac:dyDescent="0.3">
      <c r="A28" s="34">
        <v>46111</v>
      </c>
      <c r="B28">
        <v>4712</v>
      </c>
      <c r="C28">
        <v>6967</v>
      </c>
      <c r="D28">
        <v>1848</v>
      </c>
      <c r="E28">
        <v>12777</v>
      </c>
      <c r="F28">
        <v>40</v>
      </c>
      <c r="G28">
        <v>188</v>
      </c>
      <c r="H28">
        <v>359</v>
      </c>
      <c r="I28">
        <v>0</v>
      </c>
      <c r="J28">
        <v>0</v>
      </c>
      <c r="K28" t="s">
        <v>36</v>
      </c>
    </row>
    <row r="29" spans="1:11" x14ac:dyDescent="0.3">
      <c r="A29" s="34">
        <v>46112</v>
      </c>
      <c r="B29">
        <v>4732</v>
      </c>
      <c r="C29">
        <v>6980</v>
      </c>
      <c r="D29">
        <v>1861</v>
      </c>
      <c r="E29">
        <v>12424</v>
      </c>
      <c r="F29">
        <v>40</v>
      </c>
      <c r="G29">
        <v>199</v>
      </c>
      <c r="H29">
        <v>354</v>
      </c>
      <c r="I29">
        <v>0</v>
      </c>
      <c r="J29">
        <v>0</v>
      </c>
      <c r="K29" t="s">
        <v>36</v>
      </c>
    </row>
    <row r="30" spans="1:11" x14ac:dyDescent="0.3">
      <c r="A30" s="34">
        <v>46113</v>
      </c>
      <c r="B30">
        <v>1190</v>
      </c>
      <c r="C30">
        <v>6988</v>
      </c>
      <c r="D30">
        <v>2095</v>
      </c>
      <c r="E30">
        <v>12476</v>
      </c>
      <c r="F30">
        <v>36</v>
      </c>
      <c r="G30">
        <v>205</v>
      </c>
      <c r="H30">
        <v>878</v>
      </c>
      <c r="I30">
        <v>0</v>
      </c>
      <c r="J30">
        <v>0</v>
      </c>
      <c r="K30" t="s">
        <v>36</v>
      </c>
    </row>
    <row r="31" spans="1:11" x14ac:dyDescent="0.3">
      <c r="A31" s="34">
        <v>46114</v>
      </c>
      <c r="B31">
        <v>1183</v>
      </c>
      <c r="C31">
        <v>6829</v>
      </c>
      <c r="D31">
        <v>2163</v>
      </c>
      <c r="E31">
        <v>12985</v>
      </c>
      <c r="F31">
        <v>28</v>
      </c>
      <c r="G31">
        <v>177</v>
      </c>
      <c r="H31">
        <v>1163</v>
      </c>
      <c r="I31">
        <v>0</v>
      </c>
      <c r="J31">
        <v>0</v>
      </c>
      <c r="K31" t="s">
        <v>36</v>
      </c>
    </row>
    <row r="32" spans="1:11" x14ac:dyDescent="0.3">
      <c r="A32" s="34">
        <v>46115</v>
      </c>
      <c r="B32">
        <v>1180</v>
      </c>
      <c r="C32">
        <v>6955</v>
      </c>
      <c r="D32">
        <v>2316</v>
      </c>
      <c r="E32">
        <v>14567</v>
      </c>
      <c r="F32">
        <v>28</v>
      </c>
      <c r="G32">
        <v>187</v>
      </c>
      <c r="H32">
        <v>1176</v>
      </c>
      <c r="I32">
        <v>0</v>
      </c>
      <c r="J32">
        <v>0</v>
      </c>
      <c r="K32" t="s">
        <v>36</v>
      </c>
    </row>
    <row r="33" spans="1:11" x14ac:dyDescent="0.3">
      <c r="A33" s="34">
        <v>46116</v>
      </c>
      <c r="B33">
        <v>1190</v>
      </c>
      <c r="C33">
        <v>6954</v>
      </c>
      <c r="D33">
        <v>2478</v>
      </c>
      <c r="E33">
        <v>15390</v>
      </c>
      <c r="F33">
        <v>29</v>
      </c>
      <c r="G33">
        <v>180</v>
      </c>
      <c r="H33">
        <v>900</v>
      </c>
      <c r="I33">
        <v>0</v>
      </c>
      <c r="J33">
        <v>0</v>
      </c>
      <c r="K33" t="s">
        <v>36</v>
      </c>
    </row>
    <row r="34" spans="1:11" x14ac:dyDescent="0.3">
      <c r="A34" s="34">
        <v>46117</v>
      </c>
      <c r="B34">
        <v>1183</v>
      </c>
      <c r="C34">
        <v>6961</v>
      </c>
      <c r="D34">
        <v>2564</v>
      </c>
      <c r="E34">
        <v>15112</v>
      </c>
      <c r="F34">
        <v>69</v>
      </c>
      <c r="G34">
        <v>179</v>
      </c>
      <c r="H34">
        <v>770</v>
      </c>
      <c r="I34">
        <v>0</v>
      </c>
      <c r="J34">
        <v>0</v>
      </c>
      <c r="K34" t="s">
        <v>36</v>
      </c>
    </row>
    <row r="35" spans="1:11" x14ac:dyDescent="0.3">
      <c r="A35" s="34">
        <v>46118</v>
      </c>
      <c r="B35">
        <v>1190</v>
      </c>
      <c r="C35">
        <v>6942</v>
      </c>
      <c r="D35">
        <v>2645</v>
      </c>
      <c r="E35">
        <v>13917</v>
      </c>
      <c r="F35">
        <v>69</v>
      </c>
      <c r="G35">
        <v>179</v>
      </c>
      <c r="H35">
        <v>675</v>
      </c>
      <c r="I35">
        <v>0</v>
      </c>
      <c r="J35">
        <v>0</v>
      </c>
      <c r="K35" t="s">
        <v>37</v>
      </c>
    </row>
    <row r="36" spans="1:11" x14ac:dyDescent="0.3">
      <c r="A36" s="34">
        <v>46119</v>
      </c>
      <c r="B36">
        <v>1190</v>
      </c>
      <c r="C36">
        <v>6942</v>
      </c>
      <c r="D36">
        <v>2637</v>
      </c>
      <c r="E36">
        <v>13022</v>
      </c>
      <c r="F36">
        <v>69</v>
      </c>
      <c r="G36">
        <v>179</v>
      </c>
      <c r="H36">
        <v>578</v>
      </c>
      <c r="I36">
        <v>0</v>
      </c>
      <c r="J36">
        <v>0</v>
      </c>
      <c r="K36" t="s">
        <v>37</v>
      </c>
    </row>
    <row r="37" spans="1:11" x14ac:dyDescent="0.3">
      <c r="A37" s="34">
        <v>46120</v>
      </c>
      <c r="B37">
        <v>1190</v>
      </c>
      <c r="C37">
        <v>8331</v>
      </c>
      <c r="D37">
        <v>2604</v>
      </c>
      <c r="E37">
        <v>12783</v>
      </c>
      <c r="F37">
        <v>69</v>
      </c>
      <c r="G37">
        <v>179</v>
      </c>
      <c r="H37">
        <v>506</v>
      </c>
      <c r="I37">
        <v>0</v>
      </c>
      <c r="J37">
        <v>0</v>
      </c>
      <c r="K37" t="s">
        <v>37</v>
      </c>
    </row>
    <row r="38" spans="1:11" x14ac:dyDescent="0.3">
      <c r="A38" s="34">
        <v>46121</v>
      </c>
      <c r="B38">
        <v>1190</v>
      </c>
      <c r="C38">
        <v>8331</v>
      </c>
      <c r="D38">
        <v>2572</v>
      </c>
      <c r="E38">
        <v>12865</v>
      </c>
      <c r="F38">
        <v>69</v>
      </c>
      <c r="G38">
        <v>179</v>
      </c>
      <c r="H38">
        <v>456</v>
      </c>
      <c r="I38">
        <v>0</v>
      </c>
      <c r="J38">
        <v>0</v>
      </c>
      <c r="K38" t="s">
        <v>37</v>
      </c>
    </row>
    <row r="39" spans="1:11" x14ac:dyDescent="0.3">
      <c r="A39" s="34">
        <v>46122</v>
      </c>
      <c r="B39">
        <v>1190</v>
      </c>
      <c r="C39">
        <v>8331</v>
      </c>
      <c r="D39">
        <v>2547</v>
      </c>
      <c r="E39">
        <v>13590</v>
      </c>
      <c r="F39">
        <v>69</v>
      </c>
      <c r="G39">
        <v>179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34">
        <v>46123</v>
      </c>
      <c r="B40">
        <v>1190</v>
      </c>
      <c r="C40">
        <v>8331</v>
      </c>
      <c r="D40">
        <v>2500</v>
      </c>
      <c r="E40">
        <v>15314</v>
      </c>
      <c r="F40">
        <v>69</v>
      </c>
      <c r="G40">
        <v>179</v>
      </c>
      <c r="H40">
        <v>510</v>
      </c>
      <c r="I40">
        <v>0</v>
      </c>
      <c r="J40">
        <v>0</v>
      </c>
      <c r="K40" t="s">
        <v>37</v>
      </c>
    </row>
    <row r="41" spans="1:11" x14ac:dyDescent="0.3">
      <c r="A41" s="34">
        <v>46124</v>
      </c>
      <c r="B41">
        <v>1190</v>
      </c>
      <c r="C41">
        <v>8331</v>
      </c>
      <c r="D41">
        <v>2450</v>
      </c>
      <c r="E41">
        <v>16511</v>
      </c>
      <c r="F41">
        <v>69</v>
      </c>
      <c r="G41">
        <v>179</v>
      </c>
      <c r="H41">
        <v>510</v>
      </c>
      <c r="I41">
        <v>0</v>
      </c>
      <c r="J41">
        <v>0</v>
      </c>
      <c r="K41" t="s">
        <v>37</v>
      </c>
    </row>
    <row r="42" spans="1:11" x14ac:dyDescent="0.3">
      <c r="A42" s="34">
        <v>46125</v>
      </c>
      <c r="B42">
        <v>1190</v>
      </c>
      <c r="C42">
        <v>1785</v>
      </c>
      <c r="D42">
        <v>2400</v>
      </c>
      <c r="E42">
        <v>16887</v>
      </c>
      <c r="F42">
        <v>69</v>
      </c>
      <c r="G42">
        <v>179</v>
      </c>
      <c r="H42">
        <v>510</v>
      </c>
      <c r="I42">
        <v>0</v>
      </c>
      <c r="J42">
        <v>0</v>
      </c>
      <c r="K42" t="s">
        <v>37</v>
      </c>
    </row>
    <row r="43" spans="1:11" x14ac:dyDescent="0.3">
      <c r="A43" s="34">
        <v>46126</v>
      </c>
      <c r="B43">
        <v>1190</v>
      </c>
      <c r="C43">
        <v>1785</v>
      </c>
      <c r="D43">
        <v>2350</v>
      </c>
      <c r="E43">
        <v>16858</v>
      </c>
      <c r="F43">
        <v>69</v>
      </c>
      <c r="G43">
        <v>179</v>
      </c>
      <c r="H43">
        <v>510</v>
      </c>
      <c r="I43">
        <v>0</v>
      </c>
      <c r="J43">
        <v>0</v>
      </c>
      <c r="K43" t="s">
        <v>37</v>
      </c>
    </row>
    <row r="44" spans="1:11" x14ac:dyDescent="0.3">
      <c r="A44" s="34">
        <v>46127</v>
      </c>
      <c r="B44">
        <v>1190</v>
      </c>
      <c r="C44">
        <v>1785</v>
      </c>
      <c r="D44">
        <v>2300</v>
      </c>
      <c r="E44">
        <v>16705</v>
      </c>
      <c r="F44">
        <v>69</v>
      </c>
      <c r="G44">
        <v>179</v>
      </c>
      <c r="H44">
        <v>510</v>
      </c>
      <c r="I44">
        <v>0</v>
      </c>
      <c r="J44">
        <v>0</v>
      </c>
      <c r="K44" t="s">
        <v>37</v>
      </c>
    </row>
    <row r="45" spans="1:11" x14ac:dyDescent="0.3">
      <c r="A45" s="34">
        <v>46128</v>
      </c>
      <c r="B45">
        <v>1190</v>
      </c>
      <c r="C45">
        <v>1785</v>
      </c>
      <c r="D45">
        <v>2250</v>
      </c>
      <c r="E45">
        <v>16000</v>
      </c>
      <c r="F45">
        <v>69</v>
      </c>
      <c r="G45">
        <v>179</v>
      </c>
      <c r="H45">
        <v>510</v>
      </c>
      <c r="I45">
        <v>0</v>
      </c>
      <c r="J45">
        <v>0</v>
      </c>
      <c r="K45" t="s">
        <v>37</v>
      </c>
    </row>
    <row r="46" spans="1:11" x14ac:dyDescent="0.3">
      <c r="A46" s="34">
        <v>46129</v>
      </c>
      <c r="B46">
        <v>1190</v>
      </c>
      <c r="C46">
        <v>1785</v>
      </c>
      <c r="D46">
        <v>2200</v>
      </c>
      <c r="E46">
        <v>15000</v>
      </c>
      <c r="F46">
        <v>69</v>
      </c>
      <c r="G46">
        <v>179</v>
      </c>
      <c r="H46">
        <v>510</v>
      </c>
      <c r="I46">
        <v>0</v>
      </c>
      <c r="J46">
        <v>0</v>
      </c>
      <c r="K46" t="s">
        <v>37</v>
      </c>
    </row>
    <row r="47" spans="1:11" x14ac:dyDescent="0.3">
      <c r="A47" s="34">
        <v>46130</v>
      </c>
      <c r="B47">
        <v>1190</v>
      </c>
      <c r="C47">
        <v>1785</v>
      </c>
      <c r="D47">
        <v>2200</v>
      </c>
      <c r="E47">
        <v>14000</v>
      </c>
      <c r="F47">
        <v>69</v>
      </c>
      <c r="G47">
        <v>179</v>
      </c>
      <c r="H47">
        <v>510</v>
      </c>
      <c r="I47">
        <v>0</v>
      </c>
      <c r="J47">
        <v>0</v>
      </c>
      <c r="K47" t="s">
        <v>37</v>
      </c>
    </row>
    <row r="48" spans="1:11" x14ac:dyDescent="0.3">
      <c r="A48" s="34">
        <v>46131</v>
      </c>
      <c r="B48">
        <v>1190</v>
      </c>
      <c r="C48">
        <v>1785</v>
      </c>
      <c r="D48">
        <v>2200</v>
      </c>
      <c r="E48">
        <v>13000</v>
      </c>
      <c r="F48">
        <v>69</v>
      </c>
      <c r="G48">
        <v>179</v>
      </c>
      <c r="H48">
        <v>510</v>
      </c>
      <c r="I48">
        <v>0</v>
      </c>
      <c r="J48">
        <v>0</v>
      </c>
      <c r="K48" t="s">
        <v>37</v>
      </c>
    </row>
    <row r="49" spans="1:11" x14ac:dyDescent="0.3">
      <c r="A49" s="34">
        <v>46132</v>
      </c>
      <c r="B49">
        <v>1190</v>
      </c>
      <c r="C49">
        <v>1785</v>
      </c>
      <c r="D49">
        <v>2200</v>
      </c>
      <c r="E49">
        <v>13000</v>
      </c>
      <c r="F49">
        <v>69</v>
      </c>
      <c r="G49">
        <v>179</v>
      </c>
      <c r="H49">
        <v>510</v>
      </c>
      <c r="I49">
        <v>0</v>
      </c>
      <c r="J49">
        <v>0</v>
      </c>
      <c r="K49" t="s">
        <v>37</v>
      </c>
    </row>
    <row r="50" spans="1:11" x14ac:dyDescent="0.3">
      <c r="A50" s="34">
        <v>46133</v>
      </c>
      <c r="B50">
        <v>1190</v>
      </c>
      <c r="C50">
        <v>1785</v>
      </c>
      <c r="D50">
        <v>2200</v>
      </c>
      <c r="E50">
        <v>13000</v>
      </c>
      <c r="F50">
        <v>69</v>
      </c>
      <c r="G50">
        <v>179</v>
      </c>
      <c r="H50">
        <v>510</v>
      </c>
      <c r="I50">
        <v>0</v>
      </c>
      <c r="J50">
        <v>0</v>
      </c>
      <c r="K50" t="s">
        <v>37</v>
      </c>
    </row>
    <row r="51" spans="1:11" x14ac:dyDescent="0.3">
      <c r="A51" s="34">
        <v>46134</v>
      </c>
      <c r="B51">
        <v>1190</v>
      </c>
      <c r="C51">
        <v>1785</v>
      </c>
      <c r="D51">
        <v>2200</v>
      </c>
      <c r="E51">
        <v>13000</v>
      </c>
      <c r="F51">
        <v>69</v>
      </c>
      <c r="G51">
        <v>179</v>
      </c>
      <c r="H51">
        <v>510</v>
      </c>
      <c r="I51">
        <v>0</v>
      </c>
      <c r="J51">
        <v>0</v>
      </c>
      <c r="K51" t="s">
        <v>37</v>
      </c>
    </row>
    <row r="52" spans="1:11" x14ac:dyDescent="0.3">
      <c r="A52" s="34">
        <v>46135</v>
      </c>
      <c r="B52">
        <v>1190</v>
      </c>
      <c r="C52">
        <v>1785</v>
      </c>
      <c r="D52">
        <v>2200</v>
      </c>
      <c r="E52">
        <v>13000</v>
      </c>
      <c r="F52">
        <v>69</v>
      </c>
      <c r="G52">
        <v>179</v>
      </c>
      <c r="H52">
        <v>510</v>
      </c>
      <c r="I52">
        <v>0</v>
      </c>
      <c r="J52">
        <v>0</v>
      </c>
      <c r="K52" t="s">
        <v>37</v>
      </c>
    </row>
    <row r="53" spans="1:11" x14ac:dyDescent="0.3">
      <c r="A53" s="34">
        <v>46136</v>
      </c>
      <c r="B53">
        <v>1190</v>
      </c>
      <c r="C53">
        <v>1785</v>
      </c>
      <c r="D53">
        <v>2200</v>
      </c>
      <c r="E53">
        <v>13000</v>
      </c>
      <c r="F53">
        <v>69</v>
      </c>
      <c r="G53">
        <v>179</v>
      </c>
      <c r="H53">
        <v>510</v>
      </c>
      <c r="I53">
        <v>0</v>
      </c>
      <c r="J53">
        <v>0</v>
      </c>
      <c r="K53" t="s">
        <v>37</v>
      </c>
    </row>
    <row r="54" spans="1:11" x14ac:dyDescent="0.3">
      <c r="A54" s="34">
        <v>46137</v>
      </c>
      <c r="B54">
        <v>1190</v>
      </c>
      <c r="C54">
        <v>1785</v>
      </c>
      <c r="D54">
        <v>2200</v>
      </c>
      <c r="E54">
        <v>13000</v>
      </c>
      <c r="F54">
        <v>69</v>
      </c>
      <c r="G54">
        <v>179</v>
      </c>
      <c r="H54">
        <v>510</v>
      </c>
      <c r="I54">
        <v>0</v>
      </c>
      <c r="J54">
        <v>0</v>
      </c>
      <c r="K54" t="s">
        <v>37</v>
      </c>
    </row>
    <row r="55" spans="1:11" x14ac:dyDescent="0.3">
      <c r="A55" s="34">
        <v>46138</v>
      </c>
      <c r="B55">
        <v>1190</v>
      </c>
      <c r="C55">
        <v>1785</v>
      </c>
      <c r="D55">
        <v>2200</v>
      </c>
      <c r="E55">
        <v>13000</v>
      </c>
      <c r="F55">
        <v>69</v>
      </c>
      <c r="G55">
        <v>179</v>
      </c>
      <c r="H55">
        <v>510</v>
      </c>
      <c r="I55">
        <v>0</v>
      </c>
      <c r="J55">
        <v>0</v>
      </c>
      <c r="K55" t="s">
        <v>37</v>
      </c>
    </row>
    <row r="56" spans="1:11" x14ac:dyDescent="0.3">
      <c r="A56" s="34">
        <v>46139</v>
      </c>
      <c r="B56">
        <v>1190</v>
      </c>
      <c r="C56">
        <v>1785</v>
      </c>
      <c r="D56">
        <v>2200</v>
      </c>
      <c r="E56">
        <v>13000</v>
      </c>
      <c r="F56">
        <v>69</v>
      </c>
      <c r="G56">
        <v>179</v>
      </c>
      <c r="H56">
        <v>510</v>
      </c>
      <c r="I56">
        <v>0</v>
      </c>
      <c r="J56">
        <v>0</v>
      </c>
      <c r="K56" t="s">
        <v>37</v>
      </c>
    </row>
    <row r="57" spans="1:11" x14ac:dyDescent="0.3">
      <c r="A57" s="34">
        <v>46140</v>
      </c>
      <c r="B57">
        <v>1190</v>
      </c>
      <c r="C57">
        <v>1785</v>
      </c>
      <c r="D57">
        <v>2200</v>
      </c>
      <c r="E57">
        <v>13000</v>
      </c>
      <c r="F57">
        <v>69</v>
      </c>
      <c r="G57">
        <v>179</v>
      </c>
      <c r="H57">
        <v>510</v>
      </c>
      <c r="I57">
        <v>0</v>
      </c>
      <c r="J57">
        <v>0</v>
      </c>
      <c r="K57" t="s">
        <v>37</v>
      </c>
    </row>
    <row r="58" spans="1:11" x14ac:dyDescent="0.3">
      <c r="A58" s="34">
        <v>46141</v>
      </c>
      <c r="B58">
        <v>1190</v>
      </c>
      <c r="C58">
        <v>1785</v>
      </c>
      <c r="D58">
        <v>2200</v>
      </c>
      <c r="E58">
        <v>13000</v>
      </c>
      <c r="F58">
        <v>69</v>
      </c>
      <c r="G58">
        <v>179</v>
      </c>
      <c r="H58">
        <v>510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workbookViewId="0">
      <selection activeCell="B3" sqref="B3:E11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46119</v>
      </c>
      <c r="B3" s="66"/>
      <c r="C3" s="66"/>
      <c r="D3" s="66"/>
      <c r="E3" s="66"/>
    </row>
    <row r="4" spans="1:5" x14ac:dyDescent="0.3">
      <c r="A4" s="34">
        <f>A3+1</f>
        <v>46120</v>
      </c>
      <c r="B4" s="66"/>
      <c r="C4" s="66"/>
      <c r="D4" s="66"/>
      <c r="E4" s="66"/>
    </row>
    <row r="5" spans="1:5" x14ac:dyDescent="0.3">
      <c r="A5" s="34">
        <f t="shared" ref="A5:A9" si="0">A4+1</f>
        <v>46121</v>
      </c>
      <c r="B5" s="66"/>
      <c r="C5" s="66"/>
      <c r="D5" s="66"/>
      <c r="E5" s="66"/>
    </row>
    <row r="6" spans="1:5" x14ac:dyDescent="0.3">
      <c r="A6" s="34">
        <f t="shared" si="0"/>
        <v>46122</v>
      </c>
      <c r="B6" s="66"/>
      <c r="C6" s="66"/>
      <c r="D6" s="66"/>
      <c r="E6" s="66"/>
    </row>
    <row r="7" spans="1:5" x14ac:dyDescent="0.3">
      <c r="A7" s="34">
        <f t="shared" si="0"/>
        <v>46123</v>
      </c>
      <c r="B7" s="66"/>
      <c r="C7" s="66"/>
      <c r="D7" s="66"/>
      <c r="E7" s="66"/>
    </row>
    <row r="8" spans="1:5" x14ac:dyDescent="0.3">
      <c r="A8" s="34">
        <f t="shared" si="0"/>
        <v>46124</v>
      </c>
      <c r="B8" s="66"/>
      <c r="C8" s="66"/>
      <c r="D8" s="66"/>
      <c r="E8" s="66"/>
    </row>
    <row r="9" spans="1:5" x14ac:dyDescent="0.3">
      <c r="A9" s="34">
        <f t="shared" si="0"/>
        <v>46125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80" zoomScaleNormal="80" workbookViewId="0">
      <selection activeCell="F37" sqref="F37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46118</v>
      </c>
      <c r="B6" s="66">
        <v>3500</v>
      </c>
      <c r="C6" s="66">
        <v>600</v>
      </c>
      <c r="D6" s="66">
        <v>-2951.7752966977569</v>
      </c>
      <c r="E6" s="66">
        <v>1619.8574267708598</v>
      </c>
      <c r="F6" s="66">
        <v>3500</v>
      </c>
      <c r="G6" s="66">
        <v>600</v>
      </c>
      <c r="H6" s="66">
        <v>-2951.7752966977569</v>
      </c>
      <c r="I6" s="66">
        <v>1619.8574267708598</v>
      </c>
    </row>
    <row r="7" spans="1:26" x14ac:dyDescent="0.3">
      <c r="A7" s="34">
        <f>A6+1</f>
        <v>46119</v>
      </c>
      <c r="B7" s="66">
        <v>3500</v>
      </c>
      <c r="C7" s="66">
        <v>600</v>
      </c>
      <c r="D7" s="66">
        <v>-2913.624296697757</v>
      </c>
      <c r="E7" s="66">
        <v>1001.9009999999998</v>
      </c>
      <c r="F7" s="66">
        <v>3500</v>
      </c>
      <c r="G7" s="66">
        <v>600</v>
      </c>
      <c r="H7" s="66">
        <v>-2913.624296697757</v>
      </c>
      <c r="I7" s="66">
        <v>1001.9009999999998</v>
      </c>
    </row>
    <row r="8" spans="1:26" x14ac:dyDescent="0.3">
      <c r="A8" s="34">
        <f t="shared" ref="A8:A12" si="0">A7+1</f>
        <v>46120</v>
      </c>
      <c r="B8" s="66">
        <v>1800</v>
      </c>
      <c r="C8" s="66">
        <v>600</v>
      </c>
      <c r="D8" s="66">
        <v>-1380.0797966977566</v>
      </c>
      <c r="E8" s="66">
        <v>2477.866</v>
      </c>
      <c r="F8" s="66">
        <v>2700</v>
      </c>
      <c r="G8" s="66">
        <v>600</v>
      </c>
      <c r="H8" s="66">
        <v>-2199.9797966977567</v>
      </c>
      <c r="I8" s="66">
        <v>1577.866</v>
      </c>
    </row>
    <row r="9" spans="1:26" x14ac:dyDescent="0.3">
      <c r="A9" s="34">
        <f t="shared" si="0"/>
        <v>46121</v>
      </c>
      <c r="B9" s="66">
        <v>1800</v>
      </c>
      <c r="C9" s="66">
        <v>600</v>
      </c>
      <c r="D9" s="66">
        <v>-1395.6227966977567</v>
      </c>
      <c r="E9" s="66">
        <v>2308.5789999999997</v>
      </c>
      <c r="F9" s="66">
        <v>2700</v>
      </c>
      <c r="G9" s="66">
        <v>600</v>
      </c>
      <c r="H9" s="66">
        <v>-2215.5227966977568</v>
      </c>
      <c r="I9" s="66">
        <v>1408.5789999999997</v>
      </c>
    </row>
    <row r="10" spans="1:26" x14ac:dyDescent="0.3">
      <c r="A10" s="34">
        <f t="shared" si="0"/>
        <v>46122</v>
      </c>
      <c r="B10" s="66">
        <v>1800</v>
      </c>
      <c r="C10" s="66">
        <v>600</v>
      </c>
      <c r="D10" s="66">
        <v>-1410.6947966977566</v>
      </c>
      <c r="E10" s="66">
        <v>2237.4850000000006</v>
      </c>
      <c r="F10" s="66">
        <v>2700</v>
      </c>
      <c r="G10" s="66">
        <v>600</v>
      </c>
      <c r="H10" s="66">
        <v>-2230.5947966977565</v>
      </c>
      <c r="I10" s="66">
        <v>1337.4850000000006</v>
      </c>
    </row>
    <row r="11" spans="1:26" x14ac:dyDescent="0.3">
      <c r="A11" s="34">
        <f t="shared" si="0"/>
        <v>46123</v>
      </c>
      <c r="B11" s="66">
        <v>1800</v>
      </c>
      <c r="C11" s="66">
        <v>600</v>
      </c>
      <c r="D11" s="66">
        <v>-1422.4697966977567</v>
      </c>
      <c r="E11" s="66">
        <v>2298.91</v>
      </c>
      <c r="F11" s="66">
        <v>2700</v>
      </c>
      <c r="G11" s="66">
        <v>600</v>
      </c>
      <c r="H11" s="66">
        <v>-2242.369796697757</v>
      </c>
      <c r="I11" s="66">
        <v>1398.9099999999999</v>
      </c>
    </row>
    <row r="12" spans="1:26" x14ac:dyDescent="0.3">
      <c r="A12" s="34">
        <f t="shared" si="0"/>
        <v>46124</v>
      </c>
      <c r="B12" s="66">
        <v>1800</v>
      </c>
      <c r="C12" s="66">
        <v>600</v>
      </c>
      <c r="D12" s="66">
        <v>-1444.6067966977566</v>
      </c>
      <c r="E12" s="66">
        <v>2545.2020000000002</v>
      </c>
      <c r="F12" s="66">
        <v>2700</v>
      </c>
      <c r="G12" s="66">
        <v>600</v>
      </c>
      <c r="H12" s="66">
        <v>-2264.5067966977567</v>
      </c>
      <c r="I12" s="66">
        <v>1645.2020000000002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46118</v>
      </c>
      <c r="B20" s="66">
        <v>3500</v>
      </c>
      <c r="C20" s="66">
        <v>600</v>
      </c>
      <c r="D20" s="66">
        <v>-2951.7752966977569</v>
      </c>
      <c r="E20" s="66">
        <v>1619.8574267708598</v>
      </c>
      <c r="F20" s="66">
        <v>3500</v>
      </c>
      <c r="G20" s="66">
        <v>600</v>
      </c>
      <c r="H20" s="66">
        <v>-2951.7752966977569</v>
      </c>
      <c r="I20" s="66">
        <v>1619.8574267708598</v>
      </c>
    </row>
    <row r="21" spans="1:9" x14ac:dyDescent="0.3">
      <c r="A21" s="34">
        <f t="shared" ref="A21:A26" si="1">A7</f>
        <v>46119</v>
      </c>
      <c r="B21" s="66">
        <v>3500</v>
      </c>
      <c r="C21" s="66">
        <v>600</v>
      </c>
      <c r="D21" s="66">
        <v>-2913.624296697757</v>
      </c>
      <c r="E21" s="66">
        <v>1001.9009999999998</v>
      </c>
      <c r="F21" s="66">
        <v>3500</v>
      </c>
      <c r="G21" s="66">
        <v>600</v>
      </c>
      <c r="H21" s="66">
        <v>-2913.624296697757</v>
      </c>
      <c r="I21" s="66">
        <v>1001.9009999999998</v>
      </c>
    </row>
    <row r="22" spans="1:9" x14ac:dyDescent="0.3">
      <c r="A22" s="34">
        <f t="shared" si="1"/>
        <v>46120</v>
      </c>
      <c r="B22" s="66">
        <v>3500</v>
      </c>
      <c r="C22" s="66">
        <v>600</v>
      </c>
      <c r="D22" s="66">
        <v>-2928.7797966977569</v>
      </c>
      <c r="E22" s="66">
        <v>777.86599999999999</v>
      </c>
      <c r="F22" s="66">
        <v>4200</v>
      </c>
      <c r="G22" s="66">
        <v>600</v>
      </c>
      <c r="H22" s="66">
        <v>-3566.4797966977567</v>
      </c>
      <c r="I22" s="66">
        <v>77.865999999999985</v>
      </c>
    </row>
    <row r="23" spans="1:9" x14ac:dyDescent="0.3">
      <c r="A23" s="34">
        <f t="shared" si="1"/>
        <v>46121</v>
      </c>
      <c r="B23" s="66">
        <v>3500</v>
      </c>
      <c r="C23" s="66">
        <v>600</v>
      </c>
      <c r="D23" s="66">
        <v>-2944.322796697757</v>
      </c>
      <c r="E23" s="66">
        <v>608.57899999999972</v>
      </c>
      <c r="F23" s="66">
        <v>4200</v>
      </c>
      <c r="G23" s="66">
        <v>600</v>
      </c>
      <c r="H23" s="66">
        <v>-3582.0227966977568</v>
      </c>
      <c r="I23" s="66">
        <v>-91.421000000000276</v>
      </c>
    </row>
    <row r="24" spans="1:9" x14ac:dyDescent="0.3">
      <c r="A24" s="34">
        <f t="shared" si="1"/>
        <v>46122</v>
      </c>
      <c r="B24" s="66">
        <v>3500</v>
      </c>
      <c r="C24" s="66">
        <v>600</v>
      </c>
      <c r="D24" s="66">
        <v>-2959.3947966977566</v>
      </c>
      <c r="E24" s="66">
        <v>537.48500000000058</v>
      </c>
      <c r="F24" s="66">
        <v>4200</v>
      </c>
      <c r="G24" s="66">
        <v>600</v>
      </c>
      <c r="H24" s="66">
        <v>-3597.0947966977565</v>
      </c>
      <c r="I24" s="66">
        <v>-162.51499999999942</v>
      </c>
    </row>
    <row r="25" spans="1:9" x14ac:dyDescent="0.3">
      <c r="A25" s="34">
        <f t="shared" si="1"/>
        <v>46123</v>
      </c>
      <c r="B25" s="66">
        <v>3500</v>
      </c>
      <c r="C25" s="66">
        <v>600</v>
      </c>
      <c r="D25" s="66">
        <v>-2971.1697966977572</v>
      </c>
      <c r="E25" s="66">
        <v>598.90999999999985</v>
      </c>
      <c r="F25" s="66">
        <v>4200</v>
      </c>
      <c r="G25" s="66">
        <v>600</v>
      </c>
      <c r="H25" s="66">
        <v>-3608.869796697757</v>
      </c>
      <c r="I25" s="66">
        <v>-101.09000000000015</v>
      </c>
    </row>
    <row r="26" spans="1:9" x14ac:dyDescent="0.3">
      <c r="A26" s="34">
        <f t="shared" si="1"/>
        <v>46124</v>
      </c>
      <c r="B26" s="66">
        <v>3500</v>
      </c>
      <c r="C26" s="66">
        <v>600</v>
      </c>
      <c r="D26" s="66">
        <v>-2993.3067966977569</v>
      </c>
      <c r="E26" s="66">
        <v>845.20200000000023</v>
      </c>
      <c r="F26" s="66">
        <v>4200</v>
      </c>
      <c r="G26" s="66">
        <v>600</v>
      </c>
      <c r="H26" s="66">
        <v>-3631.0067966977567</v>
      </c>
      <c r="I26" s="66">
        <v>145.20200000000023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04_06_OMRI-2000</vt:lpstr>
      <vt:lpstr>04_06_OMRI -3500</vt:lpstr>
      <vt:lpstr>04_06_OMRI -5000</vt:lpstr>
      <vt:lpstr>04_06_OMRI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2026-04-07T18:45:16Z</dcterms:modified>
</cp:coreProperties>
</file>