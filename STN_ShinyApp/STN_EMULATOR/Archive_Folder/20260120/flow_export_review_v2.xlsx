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120DSM2InputData\"/>
    </mc:Choice>
  </mc:AlternateContent>
  <xr:revisionPtr revIDLastSave="0" documentId="13_ncr:1_{FFC20942-1BD4-4B5B-B331-8C41E24FEB02}" xr6:coauthVersionLast="47" xr6:coauthVersionMax="47" xr10:uidLastSave="{00000000-0000-0000-0000-000000000000}"/>
  <bookViews>
    <workbookView xWindow="22932" yWindow="-108" windowWidth="30936" windowHeight="16776" tabRatio="812" activeTab="1" xr2:uid="{07475B08-0D99-490C-B51C-831472BE29DB}"/>
  </bookViews>
  <sheets>
    <sheet name="README" sheetId="7" r:id="rId1"/>
    <sheet name="plot_example" sheetId="2" r:id="rId2"/>
    <sheet name="01_12_OMRI-2000" sheetId="6" r:id="rId3"/>
    <sheet name="01_12_OMRI -3500" sheetId="4" r:id="rId4"/>
    <sheet name="01_20_OMRI -5000" sheetId="5" r:id="rId5"/>
    <sheet name="01_20_OMRI -6250" sheetId="3" r:id="rId6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6" l="1"/>
  <c r="H51" i="6" s="1"/>
  <c r="H52" i="6" s="1"/>
  <c r="H53" i="6" s="1"/>
  <c r="H54" i="6" s="1"/>
  <c r="H55" i="6" s="1"/>
  <c r="H56" i="6" s="1"/>
  <c r="G50" i="6"/>
  <c r="G51" i="6" s="1"/>
  <c r="G52" i="6" s="1"/>
  <c r="G53" i="6" s="1"/>
  <c r="G54" i="6" s="1"/>
  <c r="G55" i="6" s="1"/>
  <c r="G56" i="6" s="1"/>
  <c r="F50" i="6"/>
  <c r="F51" i="6" s="1"/>
  <c r="F52" i="6" s="1"/>
  <c r="F53" i="6" s="1"/>
  <c r="F54" i="6" s="1"/>
  <c r="F55" i="6" s="1"/>
  <c r="F56" i="6" s="1"/>
  <c r="K49" i="6"/>
  <c r="K50" i="6" s="1"/>
  <c r="K51" i="6" s="1"/>
  <c r="K52" i="6" s="1"/>
  <c r="K53" i="6" s="1"/>
  <c r="K54" i="6" s="1"/>
  <c r="K55" i="6" s="1"/>
  <c r="K56" i="6" s="1"/>
  <c r="J49" i="6"/>
  <c r="J50" i="6" s="1"/>
  <c r="J51" i="6" s="1"/>
  <c r="J52" i="6" s="1"/>
  <c r="J53" i="6" s="1"/>
  <c r="J54" i="6" s="1"/>
  <c r="J55" i="6" s="1"/>
  <c r="J56" i="6" s="1"/>
  <c r="I49" i="6"/>
  <c r="I50" i="6" s="1"/>
  <c r="I51" i="6" s="1"/>
  <c r="I52" i="6" s="1"/>
  <c r="I53" i="6" s="1"/>
  <c r="I54" i="6" s="1"/>
  <c r="I55" i="6" s="1"/>
  <c r="I56" i="6" s="1"/>
  <c r="H49" i="6"/>
  <c r="G49" i="6"/>
  <c r="F49" i="6"/>
  <c r="E49" i="6"/>
  <c r="E50" i="6" s="1"/>
  <c r="E51" i="6" s="1"/>
  <c r="E52" i="6" s="1"/>
  <c r="E53" i="6" s="1"/>
  <c r="E54" i="6" s="1"/>
  <c r="E55" i="6" s="1"/>
  <c r="E56" i="6" s="1"/>
  <c r="D49" i="6"/>
  <c r="D50" i="6" s="1"/>
  <c r="D51" i="6" s="1"/>
  <c r="D52" i="6" s="1"/>
  <c r="D53" i="6" s="1"/>
  <c r="D54" i="6" s="1"/>
  <c r="D55" i="6" s="1"/>
  <c r="D56" i="6" s="1"/>
  <c r="C49" i="6"/>
  <c r="C50" i="6" s="1"/>
  <c r="C51" i="6" s="1"/>
  <c r="C52" i="6" s="1"/>
  <c r="C53" i="6" s="1"/>
  <c r="C54" i="6" s="1"/>
  <c r="C55" i="6" s="1"/>
  <c r="C56" i="6" s="1"/>
  <c r="B49" i="6"/>
  <c r="B50" i="6" s="1"/>
  <c r="B51" i="6" s="1"/>
  <c r="B52" i="6" s="1"/>
  <c r="B53" i="6" s="1"/>
  <c r="B54" i="6" s="1"/>
  <c r="B55" i="6" s="1"/>
  <c r="B56" i="6" s="1"/>
  <c r="A49" i="6"/>
  <c r="A50" i="6" s="1"/>
  <c r="A51" i="6" s="1"/>
  <c r="A52" i="6" s="1"/>
  <c r="A53" i="6" s="1"/>
  <c r="A54" i="6" s="1"/>
  <c r="A55" i="6" s="1"/>
  <c r="A56" i="6" s="1"/>
  <c r="H50" i="4"/>
  <c r="H51" i="4" s="1"/>
  <c r="H52" i="4" s="1"/>
  <c r="H53" i="4" s="1"/>
  <c r="H54" i="4" s="1"/>
  <c r="H55" i="4" s="1"/>
  <c r="H56" i="4" s="1"/>
  <c r="G50" i="4"/>
  <c r="G51" i="4" s="1"/>
  <c r="G52" i="4" s="1"/>
  <c r="G53" i="4" s="1"/>
  <c r="G54" i="4" s="1"/>
  <c r="G55" i="4" s="1"/>
  <c r="G56" i="4" s="1"/>
  <c r="F50" i="4"/>
  <c r="F51" i="4" s="1"/>
  <c r="F52" i="4" s="1"/>
  <c r="F53" i="4" s="1"/>
  <c r="F54" i="4" s="1"/>
  <c r="F55" i="4" s="1"/>
  <c r="F56" i="4" s="1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I50" i="4" s="1"/>
  <c r="I51" i="4" s="1"/>
  <c r="I52" i="4" s="1"/>
  <c r="I53" i="4" s="1"/>
  <c r="I54" i="4" s="1"/>
  <c r="I55" i="4" s="1"/>
  <c r="I56" i="4" s="1"/>
  <c r="H49" i="4"/>
  <c r="G49" i="4"/>
  <c r="F49" i="4"/>
  <c r="E49" i="4"/>
  <c r="E50" i="4" s="1"/>
  <c r="E51" i="4" s="1"/>
  <c r="E52" i="4" s="1"/>
  <c r="E53" i="4" s="1"/>
  <c r="E54" i="4" s="1"/>
  <c r="E55" i="4" s="1"/>
  <c r="E56" i="4" s="1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A49" i="4"/>
  <c r="A50" i="4" s="1"/>
  <c r="A51" i="4" s="1"/>
  <c r="A52" i="4" s="1"/>
  <c r="A53" i="4" s="1"/>
  <c r="A54" i="4" s="1"/>
  <c r="A55" i="4" s="1"/>
  <c r="A56" i="4" s="1"/>
  <c r="G50" i="5"/>
  <c r="G51" i="5" s="1"/>
  <c r="G52" i="5" s="1"/>
  <c r="G53" i="5" s="1"/>
  <c r="G54" i="5" s="1"/>
  <c r="G55" i="5" s="1"/>
  <c r="G56" i="5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I50" i="5" s="1"/>
  <c r="I51" i="5" s="1"/>
  <c r="I52" i="5" s="1"/>
  <c r="I53" i="5" s="1"/>
  <c r="I54" i="5" s="1"/>
  <c r="I55" i="5" s="1"/>
  <c r="I56" i="5" s="1"/>
  <c r="H49" i="5"/>
  <c r="H50" i="5" s="1"/>
  <c r="H51" i="5" s="1"/>
  <c r="H52" i="5" s="1"/>
  <c r="H53" i="5" s="1"/>
  <c r="H54" i="5" s="1"/>
  <c r="H55" i="5" s="1"/>
  <c r="H56" i="5" s="1"/>
  <c r="G49" i="5"/>
  <c r="F49" i="5"/>
  <c r="F50" i="5" s="1"/>
  <c r="F51" i="5" s="1"/>
  <c r="F52" i="5" s="1"/>
  <c r="F53" i="5" s="1"/>
  <c r="F54" i="5" s="1"/>
  <c r="F55" i="5" s="1"/>
  <c r="F56" i="5" s="1"/>
  <c r="E49" i="5"/>
  <c r="E50" i="5" s="1"/>
  <c r="E51" i="5" s="1"/>
  <c r="E52" i="5" s="1"/>
  <c r="E53" i="5" s="1"/>
  <c r="E54" i="5" s="1"/>
  <c r="E55" i="5" s="1"/>
  <c r="E56" i="5" s="1"/>
  <c r="D49" i="5"/>
  <c r="D50" i="5" s="1"/>
  <c r="D51" i="5" s="1"/>
  <c r="D52" i="5" s="1"/>
  <c r="D53" i="5" s="1"/>
  <c r="D54" i="5" s="1"/>
  <c r="D55" i="5" s="1"/>
  <c r="D56" i="5" s="1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A49" i="5"/>
  <c r="A50" i="5" s="1"/>
  <c r="A51" i="5" s="1"/>
  <c r="A52" i="5" s="1"/>
  <c r="A53" i="5" s="1"/>
  <c r="A54" i="5" s="1"/>
  <c r="A55" i="5" s="1"/>
  <c r="A56" i="5" s="1"/>
  <c r="D51" i="3"/>
  <c r="D52" i="3" s="1"/>
  <c r="D53" i="3" s="1"/>
  <c r="D54" i="3" s="1"/>
  <c r="D55" i="3" s="1"/>
  <c r="D56" i="3" s="1"/>
  <c r="G50" i="3"/>
  <c r="G51" i="3" s="1"/>
  <c r="G52" i="3" s="1"/>
  <c r="G53" i="3" s="1"/>
  <c r="G54" i="3" s="1"/>
  <c r="G55" i="3" s="1"/>
  <c r="G56" i="3" s="1"/>
  <c r="E50" i="3"/>
  <c r="E51" i="3" s="1"/>
  <c r="E52" i="3" s="1"/>
  <c r="E53" i="3" s="1"/>
  <c r="E54" i="3" s="1"/>
  <c r="E55" i="3" s="1"/>
  <c r="E56" i="3" s="1"/>
  <c r="D50" i="3"/>
  <c r="K49" i="3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I50" i="3" s="1"/>
  <c r="I51" i="3" s="1"/>
  <c r="I52" i="3" s="1"/>
  <c r="I53" i="3" s="1"/>
  <c r="I54" i="3" s="1"/>
  <c r="I55" i="3" s="1"/>
  <c r="I56" i="3" s="1"/>
  <c r="H49" i="3"/>
  <c r="H50" i="3" s="1"/>
  <c r="H51" i="3" s="1"/>
  <c r="H52" i="3" s="1"/>
  <c r="H53" i="3" s="1"/>
  <c r="H54" i="3" s="1"/>
  <c r="H55" i="3" s="1"/>
  <c r="H56" i="3" s="1"/>
  <c r="G49" i="3"/>
  <c r="F49" i="3"/>
  <c r="F50" i="3" s="1"/>
  <c r="F51" i="3" s="1"/>
  <c r="F52" i="3" s="1"/>
  <c r="F53" i="3" s="1"/>
  <c r="F54" i="3" s="1"/>
  <c r="F55" i="3" s="1"/>
  <c r="F56" i="3" s="1"/>
  <c r="E49" i="3"/>
  <c r="D49" i="3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A49" i="3"/>
  <c r="A50" i="3" s="1"/>
  <c r="A51" i="3" s="1"/>
  <c r="A52" i="3" s="1"/>
  <c r="A53" i="3" s="1"/>
  <c r="A54" i="3" s="1"/>
  <c r="A55" i="3" s="1"/>
  <c r="A56" i="3" s="1"/>
  <c r="N3" i="2" l="1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8" i="2"/>
  <c r="J7" i="2"/>
  <c r="J6" i="2"/>
  <c r="J5" i="2"/>
  <c r="J4" i="2"/>
  <c r="J3" i="2"/>
  <c r="E3" i="2"/>
  <c r="G3" i="2" s="1"/>
  <c r="B3" i="2"/>
  <c r="D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AT8" i="2"/>
  <c r="AU8" i="2"/>
  <c r="AO10" i="2" l="1"/>
  <c r="K10" i="2"/>
  <c r="AF10" i="2"/>
  <c r="T10" i="2"/>
  <c r="AL10" i="2"/>
  <c r="W10" i="2"/>
  <c r="AC10" i="2"/>
  <c r="N10" i="2"/>
  <c r="T35" i="2"/>
  <c r="U35" i="2" s="1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l="1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N12" i="2" l="1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V16" i="2"/>
  <c r="E16" i="2"/>
  <c r="G16" i="2" s="1"/>
  <c r="B16" i="2"/>
  <c r="D16" i="2" s="1"/>
  <c r="S36" i="2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U36" i="2" s="1"/>
  <c r="AV16" i="2"/>
  <c r="AQ16" i="2"/>
  <c r="E17" i="2"/>
  <c r="G17" i="2" s="1"/>
  <c r="B17" i="2"/>
  <c r="D17" i="2" s="1"/>
  <c r="A18" i="2"/>
  <c r="U49" i="2"/>
  <c r="V49" i="2"/>
  <c r="U48" i="2"/>
  <c r="V46" i="2"/>
  <c r="V36" i="2"/>
  <c r="W36" i="2" s="1"/>
  <c r="AT16" i="2"/>
  <c r="Y16" i="2"/>
  <c r="U47" i="2"/>
  <c r="V48" i="2"/>
  <c r="AO18" i="2" l="1"/>
  <c r="K18" i="2"/>
  <c r="AF18" i="2"/>
  <c r="T18" i="2"/>
  <c r="W18" i="2"/>
  <c r="AC18" i="2"/>
  <c r="AL18" i="2"/>
  <c r="N18" i="2"/>
  <c r="X36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AL19" i="2" l="1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X37" i="2" l="1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<sst xmlns="http://schemas.openxmlformats.org/spreadsheetml/2006/main" count="342" uniqueCount="61">
  <si>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</si>
  <si>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</si>
  <si>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</si>
  <si>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</si>
  <si>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</si>
  <si>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</si>
  <si>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</si>
  <si>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</si>
  <si>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</si>
  <si>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</si>
  <si>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</si>
  <si>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</si>
  <si>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</si>
  <si>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</si>
  <si>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</si>
  <si>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</si>
  <si>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</si>
  <si>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</si>
  <si>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</si>
  <si>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</si>
  <si>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</si>
  <si>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</si>
  <si>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</si>
  <si>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</si>
  <si>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</si>
  <si>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</si>
  <si>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</si>
  <si>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</si>
  <si>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</si>
  <si>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</si>
  <si>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</si>
  <si>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</si>
  <si>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</si>
  <si>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</si>
  <si>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</si>
  <si>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</si>
  <si>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</si>
  <si>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</si>
  <si>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</si>
  <si>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</si>
  <si>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</si>
  <si>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</si>
  <si>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</si>
  <si>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</si>
  <si>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</si>
  <si>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Thuy Washburn at CVO sends Adam Witt four csv files with measured and forecast data based on four OMR scenarios (-6,250, -5,000, -3,500, -2000)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</si>
  <si>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</si>
  <si>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</si>
  <si>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</si>
  <si>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</si>
  <si>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</si>
  <si>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</si>
  <si>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</si>
  <si>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</si>
  <si>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</si>
  <si>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</si>
  <si>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</si>
  <si>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OMR = -6,250</t>
  </si>
  <si>
    <t>CVP Exports (cfs)</t>
  </si>
  <si>
    <t>SWP Exports (cfs)</t>
  </si>
  <si>
    <t>Total Exports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</si>
</sst>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1" fillId="0" borderId="5" xfId="1" applyBorder="1"/>
    <xf numFmtId="1" fontId="1" fillId="0" borderId="0" xfId="1" applyNumberFormat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3606.5656565656568</c:v>
                </c:pt>
                <c:pt idx="1">
                  <c:v>3606.5656565656568</c:v>
                </c:pt>
                <c:pt idx="2">
                  <c:v>3606.5656565656568</c:v>
                </c:pt>
                <c:pt idx="3">
                  <c:v>3606.5656565656568</c:v>
                </c:pt>
                <c:pt idx="4">
                  <c:v>3606.5656565656568</c:v>
                </c:pt>
                <c:pt idx="5">
                  <c:v>3606.5656565656568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3406.060606060606</c:v>
                </c:pt>
                <c:pt idx="10">
                  <c:v>3406.060606060606</c:v>
                </c:pt>
                <c:pt idx="11">
                  <c:v>3306.060606060606</c:v>
                </c:pt>
                <c:pt idx="12">
                  <c:v>3306.060606060606</c:v>
                </c:pt>
                <c:pt idx="13">
                  <c:v>3306.060606060606</c:v>
                </c:pt>
                <c:pt idx="14">
                  <c:v>3306.060606060606</c:v>
                </c:pt>
                <c:pt idx="15">
                  <c:v>3306.060606060606</c:v>
                </c:pt>
                <c:pt idx="16">
                  <c:v>3306.060606060606</c:v>
                </c:pt>
                <c:pt idx="17">
                  <c:v>3306.060606060606</c:v>
                </c:pt>
                <c:pt idx="18">
                  <c:v>3306.060606060606</c:v>
                </c:pt>
                <c:pt idx="19">
                  <c:v>3306.060606060606</c:v>
                </c:pt>
                <c:pt idx="20">
                  <c:v>3306.060606060606</c:v>
                </c:pt>
                <c:pt idx="21">
                  <c:v>3306.060606060606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2905.0505050505049</c:v>
                </c:pt>
                <c:pt idx="1">
                  <c:v>2905.0505050505049</c:v>
                </c:pt>
                <c:pt idx="2">
                  <c:v>2905.0505050505049</c:v>
                </c:pt>
                <c:pt idx="3">
                  <c:v>2905.0505050505049</c:v>
                </c:pt>
                <c:pt idx="4">
                  <c:v>2905.0505050505049</c:v>
                </c:pt>
                <c:pt idx="5">
                  <c:v>2905.0505050505049</c:v>
                </c:pt>
                <c:pt idx="6">
                  <c:v>2905.0505050505049</c:v>
                </c:pt>
                <c:pt idx="7">
                  <c:v>2805.0505050505049</c:v>
                </c:pt>
                <c:pt idx="8">
                  <c:v>2805.0505050505049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2604.5454545454545</c:v>
                </c:pt>
                <c:pt idx="12">
                  <c:v>2604.5454545454545</c:v>
                </c:pt>
                <c:pt idx="13">
                  <c:v>2604.5454545454545</c:v>
                </c:pt>
                <c:pt idx="14">
                  <c:v>2604.5454545454545</c:v>
                </c:pt>
                <c:pt idx="15">
                  <c:v>2604.5454545454545</c:v>
                </c:pt>
                <c:pt idx="16">
                  <c:v>2604.5454545454545</c:v>
                </c:pt>
                <c:pt idx="17">
                  <c:v>2604.5454545454545</c:v>
                </c:pt>
                <c:pt idx="18">
                  <c:v>2604.5454545454545</c:v>
                </c:pt>
                <c:pt idx="19">
                  <c:v>2604.5454545454545</c:v>
                </c:pt>
                <c:pt idx="20">
                  <c:v>2604.5454545454545</c:v>
                </c:pt>
                <c:pt idx="21">
                  <c:v>2604.5454545454545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2103.5353535353534</c:v>
                </c:pt>
                <c:pt idx="1">
                  <c:v>2103.5353535353534</c:v>
                </c:pt>
                <c:pt idx="2">
                  <c:v>2103.5353535353534</c:v>
                </c:pt>
                <c:pt idx="3">
                  <c:v>2103.5353535353534</c:v>
                </c:pt>
                <c:pt idx="4">
                  <c:v>2103.5353535353534</c:v>
                </c:pt>
                <c:pt idx="5">
                  <c:v>2103.5353535353534</c:v>
                </c:pt>
                <c:pt idx="6">
                  <c:v>2003.5353535353536</c:v>
                </c:pt>
                <c:pt idx="7">
                  <c:v>2003.5353535353536</c:v>
                </c:pt>
                <c:pt idx="8">
                  <c:v>1903.5353535353536</c:v>
                </c:pt>
                <c:pt idx="9">
                  <c:v>1903.5353535353536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1302.5252525252524</c:v>
                </c:pt>
                <c:pt idx="1">
                  <c:v>1302.5252525252524</c:v>
                </c:pt>
                <c:pt idx="2">
                  <c:v>1302.5252525252524</c:v>
                </c:pt>
                <c:pt idx="3">
                  <c:v>1302.5252525252524</c:v>
                </c:pt>
                <c:pt idx="4">
                  <c:v>1302.5252525252524</c:v>
                </c:pt>
                <c:pt idx="5">
                  <c:v>1302.5252525252524</c:v>
                </c:pt>
                <c:pt idx="6">
                  <c:v>1302.5252525252524</c:v>
                </c:pt>
                <c:pt idx="7">
                  <c:v>1302.5252525252524</c:v>
                </c:pt>
                <c:pt idx="8">
                  <c:v>1202.0202020202021</c:v>
                </c:pt>
                <c:pt idx="9">
                  <c:v>1102.0202020202021</c:v>
                </c:pt>
                <c:pt idx="10">
                  <c:v>1102.0202020202021</c:v>
                </c:pt>
                <c:pt idx="11">
                  <c:v>1102.0202020202021</c:v>
                </c:pt>
                <c:pt idx="12">
                  <c:v>1002.0202020202021</c:v>
                </c:pt>
                <c:pt idx="13">
                  <c:v>1002.0202020202021</c:v>
                </c:pt>
                <c:pt idx="14">
                  <c:v>1002.0202020202021</c:v>
                </c:pt>
                <c:pt idx="15">
                  <c:v>1002.0202020202021</c:v>
                </c:pt>
                <c:pt idx="16">
                  <c:v>1002.0202020202021</c:v>
                </c:pt>
                <c:pt idx="17">
                  <c:v>1002.0202020202021</c:v>
                </c:pt>
                <c:pt idx="18">
                  <c:v>1002.0202020202021</c:v>
                </c:pt>
                <c:pt idx="19">
                  <c:v>1002.0202020202021</c:v>
                </c:pt>
                <c:pt idx="20">
                  <c:v>1002.0202020202021</c:v>
                </c:pt>
                <c:pt idx="21">
                  <c:v>1002.0202020202021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38917</xdr:rowOff>
    </xdr:from>
    <xdr:to>
      <xdr:col>14</xdr:col>
      <xdr:colOff>236831</xdr:colOff>
      <xdr:row>89</xdr:row>
      <xdr:rowOff>38234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4867226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workbookViewId="0">
      <selection activeCell="E12" sqref="E12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4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zoomScale="110" zoomScaleNormal="110" workbookViewId="0">
      <selection activeCell="P46" sqref="P46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57" t="s">
        <v>57</v>
      </c>
      <c r="I1" s="58"/>
      <c r="J1" s="58"/>
      <c r="K1" s="58"/>
      <c r="L1" s="58"/>
      <c r="M1" s="58"/>
      <c r="N1" s="58"/>
      <c r="O1" s="58"/>
      <c r="P1" s="59"/>
      <c r="Q1" s="57" t="s">
        <v>56</v>
      </c>
      <c r="R1" s="58"/>
      <c r="S1" s="58"/>
      <c r="T1" s="58"/>
      <c r="U1" s="58"/>
      <c r="V1" s="58"/>
      <c r="W1" s="58"/>
      <c r="X1" s="58"/>
      <c r="Y1" s="59"/>
      <c r="Z1" s="57" t="s">
        <v>55</v>
      </c>
      <c r="AA1" s="58"/>
      <c r="AB1" s="58"/>
      <c r="AC1" s="58"/>
      <c r="AD1" s="58"/>
      <c r="AE1" s="58"/>
      <c r="AF1" s="58"/>
      <c r="AG1" s="58"/>
      <c r="AH1" s="59"/>
      <c r="AI1" s="3"/>
      <c r="AJ1" s="3"/>
      <c r="AK1" s="3"/>
      <c r="AL1" s="57" t="s">
        <v>54</v>
      </c>
      <c r="AM1" s="58"/>
      <c r="AN1" s="58"/>
      <c r="AO1" s="58"/>
      <c r="AP1" s="58"/>
      <c r="AQ1" s="59"/>
      <c r="AR1" s="2" t="s">
        <v>1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25">
      <c r="B2" s="5" t="s">
        <v>2</v>
      </c>
      <c r="C2" s="6" t="s">
        <v>3</v>
      </c>
      <c r="D2" s="1" t="s">
        <v>4</v>
      </c>
      <c r="E2" s="4" t="s">
        <v>19</v>
      </c>
      <c r="F2" s="1" t="s">
        <v>5</v>
      </c>
      <c r="G2" s="1" t="s">
        <v>6</v>
      </c>
      <c r="H2" s="2" t="s">
        <v>7</v>
      </c>
      <c r="K2" s="55" t="s">
        <v>52</v>
      </c>
      <c r="N2" s="1" t="s">
        <v>53</v>
      </c>
      <c r="P2" s="7"/>
      <c r="Q2" s="2" t="s">
        <v>7</v>
      </c>
      <c r="T2" s="55" t="s">
        <v>52</v>
      </c>
      <c r="W2" s="1" t="s">
        <v>53</v>
      </c>
      <c r="Y2" s="7"/>
      <c r="Z2" s="2" t="s">
        <v>7</v>
      </c>
      <c r="AC2" s="55" t="s">
        <v>52</v>
      </c>
      <c r="AF2" s="1" t="s">
        <v>53</v>
      </c>
      <c r="AH2" s="7"/>
      <c r="AI2" s="2" t="s">
        <v>7</v>
      </c>
      <c r="AL2" s="55" t="s">
        <v>52</v>
      </c>
      <c r="AO2" s="1" t="s">
        <v>53</v>
      </c>
      <c r="AQ2" s="7"/>
    </row>
    <row r="3" spans="1:48" ht="14.4" x14ac:dyDescent="0.3">
      <c r="A3" s="53">
        <v>46042</v>
      </c>
      <c r="B3" s="9">
        <f>INDEX('01_12_OMRI-2000'!$E$4:$E$393,MATCH($A3,'01_12_OMRI-2000'!$A$4:$A$393,0))</f>
        <v>38897</v>
      </c>
      <c r="C3" s="10"/>
      <c r="D3" s="1">
        <f t="shared" ref="D3:D7" si="0">B3</f>
        <v>38897</v>
      </c>
      <c r="E3" s="9">
        <f>INDEX('01_12_OMRI-2000'!$D$4:$D$393,MATCH($A3,'01_12_OMRI-2000'!$A$4:$A$393,0))</f>
        <v>2467</v>
      </c>
      <c r="F3" s="10"/>
      <c r="G3" s="1">
        <f t="shared" ref="G3:G7" si="1">E3</f>
        <v>2467</v>
      </c>
      <c r="H3" s="11">
        <f>-6250</f>
        <v>-6250</v>
      </c>
      <c r="I3" s="10"/>
      <c r="J3" s="1">
        <f t="shared" ref="J3:J7" si="2">H3</f>
        <v>-6250</v>
      </c>
      <c r="K3" s="12">
        <f>INDEX('01_20_OMRI -6250'!$B4:$B400,MATCH($A3,'01_20_OMRI -6250'!$A4:$A400,0))/1.98</f>
        <v>3606.5656565656568</v>
      </c>
      <c r="L3" s="10"/>
      <c r="M3" s="1">
        <f t="shared" ref="M3:M7" si="3">K3</f>
        <v>3606.5656565656568</v>
      </c>
      <c r="N3" s="13">
        <f>INDEX('01_20_OMRI -6250'!$C4:$C400,MATCH($A3,'01_20_OMRI -6250'!$A4:$A400,0))/1.98</f>
        <v>3506.060606060606</v>
      </c>
      <c r="O3" s="10"/>
      <c r="P3" s="1">
        <f t="shared" ref="P3:P7" si="4">N3</f>
        <v>3506.060606060606</v>
      </c>
      <c r="Q3" s="1">
        <v>-5000</v>
      </c>
      <c r="R3" s="10"/>
      <c r="S3" s="1">
        <f t="shared" ref="S3:S7" si="5">Q3</f>
        <v>-5000</v>
      </c>
      <c r="T3" s="52">
        <f>INDEX('01_20_OMRI -5000'!$B4:$B393,MATCH($A3,'01_20_OMRI -5000'!$A4:$A393,0))/1.98</f>
        <v>2905.0505050505049</v>
      </c>
      <c r="U3" s="10"/>
      <c r="V3" s="56">
        <f>T3</f>
        <v>2905.0505050505049</v>
      </c>
      <c r="W3" s="9">
        <f>INDEX('01_20_OMRI -5000'!$C4:$C393,MATCH($A3,'01_20_OMRI -5000'!$A4:$A393,0))/1.98</f>
        <v>3506.060606060606</v>
      </c>
      <c r="X3" s="10"/>
      <c r="Y3" s="1">
        <f t="shared" ref="Y3:Y7" si="6">W3</f>
        <v>3506.060606060606</v>
      </c>
      <c r="Z3" s="1">
        <v>-3500</v>
      </c>
      <c r="AA3" s="10"/>
      <c r="AB3" s="1">
        <f t="shared" ref="AB3:AB7" si="7">Z3</f>
        <v>-3500</v>
      </c>
      <c r="AC3" s="14">
        <f>INDEX('01_12_OMRI -3500'!$B4:$B393,MATCH($A3,'01_12_OMRI -3500'!$A4:$A393,0))/1.98</f>
        <v>2103.5353535353534</v>
      </c>
      <c r="AD3" s="10"/>
      <c r="AE3" s="1">
        <f t="shared" ref="AE3:AE7" si="8">AC3</f>
        <v>2103.5353535353534</v>
      </c>
      <c r="AF3" s="13">
        <f>INDEX('01_12_OMRI -3500'!$C4:$C393,MATCH($A3,'01_12_OMRI -3500'!$A4:$A393,0))/1.98</f>
        <v>3506.060606060606</v>
      </c>
      <c r="AG3" s="10"/>
      <c r="AH3" s="1">
        <f t="shared" ref="AH3:AH7" si="9">AF3</f>
        <v>3506.060606060606</v>
      </c>
      <c r="AI3" s="11">
        <v>-2000</v>
      </c>
      <c r="AJ3" s="10"/>
      <c r="AK3" s="1">
        <f t="shared" ref="AK3:AK7" si="10">AI3</f>
        <v>-2000</v>
      </c>
      <c r="AL3" s="14">
        <f>INDEX('01_12_OMRI-2000'!$B4:$B393,MATCH($A3,'01_12_OMRI-2000'!$A4:$A393,0))/1.98</f>
        <v>1302.5252525252524</v>
      </c>
      <c r="AM3" s="10"/>
      <c r="AN3" s="1">
        <f t="shared" ref="AN3:AN7" si="11">AL3</f>
        <v>1302.5252525252524</v>
      </c>
      <c r="AO3" s="13">
        <f>INDEX('01_12_OMRI-2000'!$C4:$C393,MATCH($A3,'01_12_OMRI-2000'!$A4:$A393,0))/1.98</f>
        <v>3506.060606060606</v>
      </c>
      <c r="AP3" s="10"/>
      <c r="AQ3" s="1">
        <f t="shared" ref="AQ3:AQ7" si="12">AO3</f>
        <v>3506.060606060606</v>
      </c>
      <c r="AS3" s="15">
        <f t="shared" ref="AS3:AS24" si="13">N3/(K3+N3)</f>
        <v>0.49293474401760984</v>
      </c>
      <c r="AT3" s="15">
        <f t="shared" ref="AT3:AT24" si="14">W3/(T3+W3)</f>
        <v>0.54687253820702697</v>
      </c>
      <c r="AU3" s="15">
        <f>AF3/(AC3+AF3)</f>
        <v>0.62501125416404069</v>
      </c>
      <c r="AV3" s="15">
        <f>AO3/(AL3+AO3)</f>
        <v>0.72912509190211106</v>
      </c>
    </row>
    <row r="4" spans="1:48" ht="14.4" x14ac:dyDescent="0.3">
      <c r="A4" s="8">
        <f>A3+1</f>
        <v>46043</v>
      </c>
      <c r="B4" s="9">
        <f>INDEX('01_12_OMRI-2000'!$E$4:$E$393,MATCH($A4,'01_12_OMRI-2000'!$A$4:$A$393,0))</f>
        <v>37262</v>
      </c>
      <c r="C4" s="10"/>
      <c r="D4" s="1">
        <f t="shared" si="0"/>
        <v>37262</v>
      </c>
      <c r="E4" s="9">
        <f>INDEX('01_12_OMRI-2000'!$D$4:$D$393,MATCH($A4,'01_12_OMRI-2000'!$A$4:$A$393,0))</f>
        <v>2451</v>
      </c>
      <c r="F4" s="10"/>
      <c r="G4" s="1">
        <f t="shared" si="1"/>
        <v>2451</v>
      </c>
      <c r="H4" s="11">
        <f t="shared" ref="H4:H24" si="15">-6250</f>
        <v>-6250</v>
      </c>
      <c r="I4" s="10"/>
      <c r="J4" s="1">
        <f t="shared" si="2"/>
        <v>-6250</v>
      </c>
      <c r="K4" s="12">
        <f>INDEX('01_20_OMRI -6250'!$B5:$B401,MATCH($A4,'01_20_OMRI -6250'!$A5:$A401,0))/1.98</f>
        <v>3606.5656565656568</v>
      </c>
      <c r="L4" s="10"/>
      <c r="M4" s="1">
        <f t="shared" si="3"/>
        <v>3606.5656565656568</v>
      </c>
      <c r="N4" s="13">
        <f>INDEX('01_20_OMRI -6250'!$C5:$C401,MATCH($A4,'01_20_OMRI -6250'!$A5:$A401,0))/1.98</f>
        <v>3506.060606060606</v>
      </c>
      <c r="O4" s="10"/>
      <c r="P4" s="1">
        <f t="shared" si="4"/>
        <v>3506.060606060606</v>
      </c>
      <c r="Q4" s="1">
        <v>-5000</v>
      </c>
      <c r="R4" s="10"/>
      <c r="S4" s="1">
        <f t="shared" si="5"/>
        <v>-5000</v>
      </c>
      <c r="T4" s="9">
        <f>INDEX('01_20_OMRI -5000'!$B5:$B394,MATCH($A4,'01_20_OMRI -5000'!$A5:$A394,0))/1.98</f>
        <v>2905.0505050505049</v>
      </c>
      <c r="U4" s="10"/>
      <c r="V4" s="1">
        <f t="shared" ref="V4:V7" si="16">T4</f>
        <v>2905.0505050505049</v>
      </c>
      <c r="W4" s="9">
        <f>INDEX('01_20_OMRI -5000'!$C5:$C394,MATCH($A4,'01_20_OMRI -5000'!$A5:$A394,0))/1.98</f>
        <v>3506.060606060606</v>
      </c>
      <c r="X4" s="10"/>
      <c r="Y4" s="1">
        <f t="shared" si="6"/>
        <v>3506.060606060606</v>
      </c>
      <c r="Z4" s="1">
        <v>-3500</v>
      </c>
      <c r="AA4" s="10"/>
      <c r="AB4" s="1">
        <f t="shared" si="7"/>
        <v>-3500</v>
      </c>
      <c r="AC4" s="14">
        <f>INDEX('01_12_OMRI -3500'!$B5:$B394,MATCH($A4,'01_12_OMRI -3500'!$A5:$A394,0))/1.98</f>
        <v>2103.5353535353534</v>
      </c>
      <c r="AD4" s="10"/>
      <c r="AE4" s="1">
        <f t="shared" si="8"/>
        <v>2103.5353535353534</v>
      </c>
      <c r="AF4" s="13">
        <f>INDEX('01_12_OMRI -3500'!$C5:$C394,MATCH($A4,'01_12_OMRI -3500'!$A5:$A394,0))/1.98</f>
        <v>3506.060606060606</v>
      </c>
      <c r="AG4" s="10"/>
      <c r="AH4" s="1">
        <f t="shared" si="9"/>
        <v>3506.060606060606</v>
      </c>
      <c r="AI4" s="11">
        <v>-2000</v>
      </c>
      <c r="AJ4" s="10"/>
      <c r="AK4" s="1">
        <f t="shared" si="10"/>
        <v>-2000</v>
      </c>
      <c r="AL4" s="14">
        <f>INDEX('01_12_OMRI-2000'!$B5:$B394,MATCH($A4,'01_12_OMRI-2000'!$A5:$A394,0))/1.98</f>
        <v>1302.5252525252524</v>
      </c>
      <c r="AM4" s="10"/>
      <c r="AN4" s="1">
        <f t="shared" si="11"/>
        <v>1302.5252525252524</v>
      </c>
      <c r="AO4" s="13">
        <f>INDEX('01_12_OMRI-2000'!$C5:$C394,MATCH($A4,'01_12_OMRI-2000'!$A5:$A394,0))/1.98</f>
        <v>3506.060606060606</v>
      </c>
      <c r="AP4" s="10"/>
      <c r="AQ4" s="1">
        <f t="shared" si="12"/>
        <v>3506.060606060606</v>
      </c>
      <c r="AS4" s="15">
        <f t="shared" si="13"/>
        <v>0.49293474401760984</v>
      </c>
      <c r="AT4" s="15">
        <f t="shared" si="14"/>
        <v>0.54687253820702697</v>
      </c>
      <c r="AU4" s="15">
        <f t="shared" ref="AU4:AU24" si="17">AF4/(AC4+AF4)</f>
        <v>0.62501125416404069</v>
      </c>
      <c r="AV4" s="15">
        <f t="shared" ref="AV4:AV24" si="18">AO4/(AL4+AO4)</f>
        <v>0.72912509190211106</v>
      </c>
    </row>
    <row r="5" spans="1:48" ht="14.4" x14ac:dyDescent="0.3">
      <c r="A5" s="8">
        <f t="shared" ref="A5:A24" si="19">A4+1</f>
        <v>46044</v>
      </c>
      <c r="B5" s="9">
        <f>INDEX('01_12_OMRI-2000'!$E$4:$E$393,MATCH($A5,'01_12_OMRI-2000'!$A$4:$A$393,0))</f>
        <v>35913</v>
      </c>
      <c r="C5" s="10"/>
      <c r="D5" s="1">
        <f t="shared" si="0"/>
        <v>35913</v>
      </c>
      <c r="E5" s="9">
        <f>INDEX('01_12_OMRI-2000'!$D$4:$D$393,MATCH($A5,'01_12_OMRI-2000'!$A$4:$A$393,0))</f>
        <v>2443</v>
      </c>
      <c r="F5" s="10"/>
      <c r="G5" s="1">
        <f t="shared" si="1"/>
        <v>2443</v>
      </c>
      <c r="H5" s="11">
        <f t="shared" si="15"/>
        <v>-6250</v>
      </c>
      <c r="I5" s="10"/>
      <c r="J5" s="1">
        <f t="shared" si="2"/>
        <v>-6250</v>
      </c>
      <c r="K5" s="12">
        <f>INDEX('01_20_OMRI -6250'!$B6:$B402,MATCH($A5,'01_20_OMRI -6250'!$A6:$A402,0))/1.98</f>
        <v>3606.5656565656568</v>
      </c>
      <c r="L5" s="10"/>
      <c r="M5" s="1">
        <f t="shared" si="3"/>
        <v>3606.5656565656568</v>
      </c>
      <c r="N5" s="13">
        <f>INDEX('01_20_OMRI -6250'!$C6:$C402,MATCH($A5,'01_20_OMRI -6250'!$A6:$A402,0))/1.98</f>
        <v>4207.575757575758</v>
      </c>
      <c r="O5" s="10"/>
      <c r="P5" s="1">
        <f t="shared" si="4"/>
        <v>4207.575757575758</v>
      </c>
      <c r="Q5" s="1">
        <v>-5000</v>
      </c>
      <c r="R5" s="10"/>
      <c r="S5" s="1">
        <f t="shared" si="5"/>
        <v>-5000</v>
      </c>
      <c r="T5" s="9">
        <f>INDEX('01_20_OMRI -5000'!$B6:$B395,MATCH($A5,'01_20_OMRI -5000'!$A6:$A395,0))/1.98</f>
        <v>2905.0505050505049</v>
      </c>
      <c r="U5" s="10"/>
      <c r="V5" s="1">
        <f t="shared" si="16"/>
        <v>2905.0505050505049</v>
      </c>
      <c r="W5" s="9">
        <f>INDEX('01_20_OMRI -5000'!$C6:$C395,MATCH($A5,'01_20_OMRI -5000'!$A6:$A395,0))/1.98</f>
        <v>3506.060606060606</v>
      </c>
      <c r="X5" s="10"/>
      <c r="Y5" s="1">
        <f t="shared" si="6"/>
        <v>3506.060606060606</v>
      </c>
      <c r="Z5" s="1">
        <v>-3500</v>
      </c>
      <c r="AA5" s="10"/>
      <c r="AB5" s="1">
        <f t="shared" si="7"/>
        <v>-3500</v>
      </c>
      <c r="AC5" s="14">
        <f>INDEX('01_12_OMRI -3500'!$B6:$B395,MATCH($A5,'01_12_OMRI -3500'!$A6:$A395,0))/1.98</f>
        <v>2103.5353535353534</v>
      </c>
      <c r="AD5" s="10"/>
      <c r="AE5" s="1">
        <f t="shared" si="8"/>
        <v>2103.5353535353534</v>
      </c>
      <c r="AF5" s="13">
        <f>INDEX('01_12_OMRI -3500'!$C6:$C395,MATCH($A5,'01_12_OMRI -3500'!$A6:$A395,0))/1.98</f>
        <v>2704.5454545454545</v>
      </c>
      <c r="AG5" s="10"/>
      <c r="AH5" s="1">
        <f t="shared" si="9"/>
        <v>2704.5454545454545</v>
      </c>
      <c r="AI5" s="11">
        <v>-2000</v>
      </c>
      <c r="AJ5" s="10"/>
      <c r="AK5" s="1">
        <f t="shared" si="10"/>
        <v>-2000</v>
      </c>
      <c r="AL5" s="14">
        <f>INDEX('01_12_OMRI-2000'!$B6:$B395,MATCH($A5,'01_12_OMRI-2000'!$A6:$A395,0))/1.98</f>
        <v>1302.5252525252524</v>
      </c>
      <c r="AM5" s="10"/>
      <c r="AN5" s="1">
        <f t="shared" si="11"/>
        <v>1302.5252525252524</v>
      </c>
      <c r="AO5" s="13">
        <f>INDEX('01_12_OMRI-2000'!$C6:$C395,MATCH($A5,'01_12_OMRI-2000'!$A6:$A395,0))/1.98</f>
        <v>1803.030303030303</v>
      </c>
      <c r="AP5" s="10"/>
      <c r="AQ5" s="1">
        <f t="shared" si="12"/>
        <v>1803.030303030303</v>
      </c>
      <c r="AS5" s="15">
        <f t="shared" si="13"/>
        <v>0.53845656670113751</v>
      </c>
      <c r="AT5" s="15">
        <f t="shared" si="14"/>
        <v>0.54687253820702697</v>
      </c>
      <c r="AU5" s="15">
        <f t="shared" si="17"/>
        <v>0.56250000000000011</v>
      </c>
      <c r="AV5" s="15">
        <f t="shared" si="18"/>
        <v>0.58058220848918518</v>
      </c>
    </row>
    <row r="6" spans="1:48" ht="14.4" x14ac:dyDescent="0.3">
      <c r="A6" s="8">
        <f t="shared" si="19"/>
        <v>46045</v>
      </c>
      <c r="B6" s="9">
        <f>INDEX('01_12_OMRI-2000'!$E$4:$E$393,MATCH($A6,'01_12_OMRI-2000'!$A$4:$A$393,0))</f>
        <v>35060</v>
      </c>
      <c r="C6" s="10"/>
      <c r="D6" s="1">
        <f t="shared" si="0"/>
        <v>35060</v>
      </c>
      <c r="E6" s="9">
        <f>INDEX('01_12_OMRI-2000'!$D$4:$D$393,MATCH($A6,'01_12_OMRI-2000'!$A$4:$A$393,0))</f>
        <v>2436</v>
      </c>
      <c r="F6" s="10"/>
      <c r="G6" s="1">
        <f t="shared" si="1"/>
        <v>2436</v>
      </c>
      <c r="H6" s="11">
        <f t="shared" si="15"/>
        <v>-6250</v>
      </c>
      <c r="I6" s="10"/>
      <c r="J6" s="1">
        <f t="shared" si="2"/>
        <v>-6250</v>
      </c>
      <c r="K6" s="12">
        <f>INDEX('01_20_OMRI -6250'!$B7:$B403,MATCH($A6,'01_20_OMRI -6250'!$A7:$A403,0))/1.98</f>
        <v>3606.5656565656568</v>
      </c>
      <c r="L6" s="10"/>
      <c r="M6" s="1">
        <f t="shared" si="3"/>
        <v>3606.5656565656568</v>
      </c>
      <c r="N6" s="13">
        <f>INDEX('01_20_OMRI -6250'!$C7:$C403,MATCH($A6,'01_20_OMRI -6250'!$A7:$A403,0))/1.98</f>
        <v>4207.575757575758</v>
      </c>
      <c r="O6" s="10"/>
      <c r="P6" s="1">
        <f t="shared" si="4"/>
        <v>4207.575757575758</v>
      </c>
      <c r="Q6" s="1">
        <v>-5000</v>
      </c>
      <c r="R6" s="10"/>
      <c r="S6" s="1">
        <f t="shared" si="5"/>
        <v>-5000</v>
      </c>
      <c r="T6" s="9">
        <f>INDEX('01_20_OMRI -5000'!$B7:$B396,MATCH($A6,'01_20_OMRI -5000'!$A7:$A396,0))/1.98</f>
        <v>2905.0505050505049</v>
      </c>
      <c r="U6" s="10"/>
      <c r="V6" s="1">
        <f t="shared" si="16"/>
        <v>2905.0505050505049</v>
      </c>
      <c r="W6" s="9">
        <f>INDEX('01_20_OMRI -5000'!$C7:$C396,MATCH($A6,'01_20_OMRI -5000'!$A7:$A396,0))/1.98</f>
        <v>3506.060606060606</v>
      </c>
      <c r="X6" s="10"/>
      <c r="Y6" s="1">
        <f t="shared" si="6"/>
        <v>3506.060606060606</v>
      </c>
      <c r="Z6" s="1">
        <v>-3500</v>
      </c>
      <c r="AA6" s="10"/>
      <c r="AB6" s="1">
        <f t="shared" si="7"/>
        <v>-3500</v>
      </c>
      <c r="AC6" s="14">
        <f>INDEX('01_12_OMRI -3500'!$B7:$B396,MATCH($A6,'01_12_OMRI -3500'!$A7:$A396,0))/1.98</f>
        <v>2103.5353535353534</v>
      </c>
      <c r="AD6" s="10"/>
      <c r="AE6" s="1">
        <f t="shared" si="8"/>
        <v>2103.5353535353534</v>
      </c>
      <c r="AF6" s="13">
        <f>INDEX('01_12_OMRI -3500'!$C7:$C396,MATCH($A6,'01_12_OMRI -3500'!$A7:$A396,0))/1.98</f>
        <v>2704.5454545454545</v>
      </c>
      <c r="AG6" s="10"/>
      <c r="AH6" s="1">
        <f t="shared" si="9"/>
        <v>2704.5454545454545</v>
      </c>
      <c r="AI6" s="11">
        <v>-2000</v>
      </c>
      <c r="AJ6" s="10"/>
      <c r="AK6" s="1">
        <f t="shared" si="10"/>
        <v>-2000</v>
      </c>
      <c r="AL6" s="14">
        <f>INDEX('01_12_OMRI-2000'!$B7:$B396,MATCH($A6,'01_12_OMRI-2000'!$A7:$A396,0))/1.98</f>
        <v>1302.5252525252524</v>
      </c>
      <c r="AM6" s="10"/>
      <c r="AN6" s="1">
        <f t="shared" si="11"/>
        <v>1302.5252525252524</v>
      </c>
      <c r="AO6" s="13">
        <f>INDEX('01_12_OMRI-2000'!$C7:$C396,MATCH($A6,'01_12_OMRI-2000'!$A7:$A396,0))/1.98</f>
        <v>1803.030303030303</v>
      </c>
      <c r="AP6" s="10"/>
      <c r="AQ6" s="1">
        <f t="shared" si="12"/>
        <v>1803.030303030303</v>
      </c>
      <c r="AS6" s="15">
        <f t="shared" si="13"/>
        <v>0.53845656670113751</v>
      </c>
      <c r="AT6" s="15">
        <f t="shared" si="14"/>
        <v>0.54687253820702697</v>
      </c>
      <c r="AU6" s="15">
        <f t="shared" si="17"/>
        <v>0.56250000000000011</v>
      </c>
      <c r="AV6" s="15">
        <f t="shared" si="18"/>
        <v>0.58058220848918518</v>
      </c>
    </row>
    <row r="7" spans="1:48" ht="14.4" x14ac:dyDescent="0.3">
      <c r="A7" s="8">
        <f t="shared" si="19"/>
        <v>46046</v>
      </c>
      <c r="B7" s="9">
        <f>INDEX('01_12_OMRI-2000'!$E$4:$E$393,MATCH($A7,'01_12_OMRI-2000'!$A$4:$A$393,0))</f>
        <v>34447</v>
      </c>
      <c r="C7" s="10"/>
      <c r="D7" s="1">
        <f t="shared" si="0"/>
        <v>34447</v>
      </c>
      <c r="E7" s="9">
        <f>INDEX('01_12_OMRI-2000'!$D$4:$D$393,MATCH($A7,'01_12_OMRI-2000'!$A$4:$A$393,0))</f>
        <v>2428</v>
      </c>
      <c r="F7" s="10"/>
      <c r="G7" s="1">
        <f t="shared" si="1"/>
        <v>2428</v>
      </c>
      <c r="H7" s="11">
        <f t="shared" si="15"/>
        <v>-6250</v>
      </c>
      <c r="I7" s="10"/>
      <c r="J7" s="1">
        <f t="shared" si="2"/>
        <v>-6250</v>
      </c>
      <c r="K7" s="12">
        <f>INDEX('01_20_OMRI -6250'!$B8:$B404,MATCH($A7,'01_20_OMRI -6250'!$A8:$A404,0))/1.98</f>
        <v>3606.5656565656568</v>
      </c>
      <c r="L7" s="10"/>
      <c r="M7" s="1">
        <f t="shared" si="3"/>
        <v>3606.5656565656568</v>
      </c>
      <c r="N7" s="13">
        <f>INDEX('01_20_OMRI -6250'!$C8:$C404,MATCH($A7,'01_20_OMRI -6250'!$A8:$A404,0))/1.98</f>
        <v>4207.575757575758</v>
      </c>
      <c r="O7" s="10"/>
      <c r="P7" s="1">
        <f t="shared" si="4"/>
        <v>4207.575757575758</v>
      </c>
      <c r="Q7" s="1">
        <v>-5000</v>
      </c>
      <c r="R7" s="10"/>
      <c r="S7" s="1">
        <f t="shared" si="5"/>
        <v>-5000</v>
      </c>
      <c r="T7" s="9">
        <f>INDEX('01_20_OMRI -5000'!$B8:$B397,MATCH($A7,'01_20_OMRI -5000'!$A8:$A397,0))/1.98</f>
        <v>2905.0505050505049</v>
      </c>
      <c r="U7" s="10"/>
      <c r="V7" s="1">
        <f t="shared" si="16"/>
        <v>2905.0505050505049</v>
      </c>
      <c r="W7" s="9">
        <f>INDEX('01_20_OMRI -5000'!$C8:$C397,MATCH($A7,'01_20_OMRI -5000'!$A8:$A397,0))/1.98</f>
        <v>3506.060606060606</v>
      </c>
      <c r="X7" s="10"/>
      <c r="Y7" s="1">
        <f t="shared" si="6"/>
        <v>3506.060606060606</v>
      </c>
      <c r="Z7" s="1">
        <v>-3500</v>
      </c>
      <c r="AA7" s="10"/>
      <c r="AB7" s="1">
        <f t="shared" si="7"/>
        <v>-3500</v>
      </c>
      <c r="AC7" s="14">
        <f>INDEX('01_12_OMRI -3500'!$B8:$B397,MATCH($A7,'01_12_OMRI -3500'!$A8:$A397,0))/1.98</f>
        <v>2103.5353535353534</v>
      </c>
      <c r="AD7" s="10"/>
      <c r="AE7" s="1">
        <f t="shared" si="8"/>
        <v>2103.5353535353534</v>
      </c>
      <c r="AF7" s="13">
        <f>INDEX('01_12_OMRI -3500'!$C8:$C397,MATCH($A7,'01_12_OMRI -3500'!$A8:$A397,0))/1.98</f>
        <v>2704.5454545454545</v>
      </c>
      <c r="AG7" s="10"/>
      <c r="AH7" s="1">
        <f t="shared" si="9"/>
        <v>2704.5454545454545</v>
      </c>
      <c r="AI7" s="11">
        <v>-2000</v>
      </c>
      <c r="AJ7" s="10"/>
      <c r="AK7" s="1">
        <f t="shared" si="10"/>
        <v>-2000</v>
      </c>
      <c r="AL7" s="14">
        <f>INDEX('01_12_OMRI-2000'!$B8:$B397,MATCH($A7,'01_12_OMRI-2000'!$A8:$A397,0))/1.98</f>
        <v>1302.5252525252524</v>
      </c>
      <c r="AM7" s="10"/>
      <c r="AN7" s="1">
        <f t="shared" si="11"/>
        <v>1302.5252525252524</v>
      </c>
      <c r="AO7" s="13">
        <f>INDEX('01_12_OMRI-2000'!$C8:$C397,MATCH($A7,'01_12_OMRI-2000'!$A8:$A397,0))/1.98</f>
        <v>1803.030303030303</v>
      </c>
      <c r="AP7" s="10"/>
      <c r="AQ7" s="1">
        <f t="shared" si="12"/>
        <v>1803.030303030303</v>
      </c>
      <c r="AS7" s="15">
        <f t="shared" si="13"/>
        <v>0.53845656670113751</v>
      </c>
      <c r="AT7" s="15">
        <f t="shared" si="14"/>
        <v>0.54687253820702697</v>
      </c>
      <c r="AU7" s="15">
        <f t="shared" si="17"/>
        <v>0.56250000000000011</v>
      </c>
      <c r="AV7" s="15">
        <f t="shared" si="18"/>
        <v>0.58058220848918518</v>
      </c>
    </row>
    <row r="8" spans="1:48" ht="14.4" x14ac:dyDescent="0.3">
      <c r="A8" s="8">
        <f t="shared" si="19"/>
        <v>46047</v>
      </c>
      <c r="B8" s="9">
        <f>INDEX('01_12_OMRI-2000'!$E$4:$E$393,MATCH($A8,'01_12_OMRI-2000'!$A$4:$A$393,0))</f>
        <v>34003</v>
      </c>
      <c r="C8" s="10"/>
      <c r="D8" s="1">
        <f>B8</f>
        <v>34003</v>
      </c>
      <c r="E8" s="9">
        <f>INDEX('01_12_OMRI-2000'!$D$4:$D$393,MATCH($A8,'01_12_OMRI-2000'!$A$4:$A$393,0))</f>
        <v>2400</v>
      </c>
      <c r="F8" s="10"/>
      <c r="G8" s="1">
        <f>E8</f>
        <v>2400</v>
      </c>
      <c r="H8" s="11">
        <f t="shared" si="15"/>
        <v>-6250</v>
      </c>
      <c r="I8" s="10"/>
      <c r="J8" s="1">
        <f>H8</f>
        <v>-6250</v>
      </c>
      <c r="K8" s="12">
        <f>INDEX('01_20_OMRI -6250'!$B9:$B405,MATCH($A8,'01_20_OMRI -6250'!$A9:$A405,0))/1.98</f>
        <v>3606.5656565656568</v>
      </c>
      <c r="L8" s="10"/>
      <c r="M8" s="1">
        <f>K8</f>
        <v>3606.5656565656568</v>
      </c>
      <c r="N8" s="13">
        <f>INDEX('01_20_OMRI -6250'!$C9:$C405,MATCH($A8,'01_20_OMRI -6250'!$A9:$A405,0))/1.98</f>
        <v>4207.575757575758</v>
      </c>
      <c r="O8" s="10"/>
      <c r="P8" s="1">
        <f>N8</f>
        <v>4207.575757575758</v>
      </c>
      <c r="Q8" s="1">
        <v>-5000</v>
      </c>
      <c r="R8" s="10"/>
      <c r="S8" s="1">
        <f>Q8</f>
        <v>-5000</v>
      </c>
      <c r="T8" s="9">
        <f>INDEX('01_20_OMRI -5000'!$B9:$B398,MATCH($A8,'01_20_OMRI -5000'!$A9:$A398,0))/1.98</f>
        <v>2905.0505050505049</v>
      </c>
      <c r="U8" s="10"/>
      <c r="V8" s="1">
        <f>T8</f>
        <v>2905.0505050505049</v>
      </c>
      <c r="W8" s="9">
        <f>INDEX('01_20_OMRI -5000'!$C9:$C398,MATCH($A8,'01_20_OMRI -5000'!$A9:$A398,0))/1.98</f>
        <v>3506.060606060606</v>
      </c>
      <c r="X8" s="10"/>
      <c r="Y8" s="1">
        <f>W8</f>
        <v>3506.060606060606</v>
      </c>
      <c r="Z8" s="1">
        <v>-3500</v>
      </c>
      <c r="AA8" s="10"/>
      <c r="AB8" s="1">
        <f>Z8</f>
        <v>-3500</v>
      </c>
      <c r="AC8" s="14">
        <f>INDEX('01_12_OMRI -3500'!$B9:$B398,MATCH($A8,'01_12_OMRI -3500'!$A9:$A398,0))/1.98</f>
        <v>2103.5353535353534</v>
      </c>
      <c r="AD8" s="10"/>
      <c r="AE8" s="1">
        <f>AC8</f>
        <v>2103.5353535353534</v>
      </c>
      <c r="AF8" s="13">
        <f>INDEX('01_12_OMRI -3500'!$C9:$C398,MATCH($A8,'01_12_OMRI -3500'!$A9:$A398,0))/1.98</f>
        <v>2704.5454545454545</v>
      </c>
      <c r="AG8" s="10"/>
      <c r="AH8" s="1">
        <f>AF8</f>
        <v>2704.5454545454545</v>
      </c>
      <c r="AI8" s="11">
        <v>-2000</v>
      </c>
      <c r="AJ8" s="10"/>
      <c r="AK8" s="1">
        <f>AI8</f>
        <v>-2000</v>
      </c>
      <c r="AL8" s="14">
        <f>INDEX('01_12_OMRI-2000'!$B9:$B398,MATCH($A8,'01_12_OMRI-2000'!$A9:$A398,0))/1.98</f>
        <v>1302.5252525252524</v>
      </c>
      <c r="AM8" s="10"/>
      <c r="AN8" s="1">
        <f>AL8</f>
        <v>1302.5252525252524</v>
      </c>
      <c r="AO8" s="13">
        <f>INDEX('01_12_OMRI-2000'!$C9:$C398,MATCH($A8,'01_12_OMRI-2000'!$A9:$A398,0))/1.98</f>
        <v>1803.030303030303</v>
      </c>
      <c r="AP8" s="10"/>
      <c r="AQ8" s="1">
        <f>AO8</f>
        <v>1803.030303030303</v>
      </c>
      <c r="AS8" s="15">
        <f t="shared" si="13"/>
        <v>0.53845656670113751</v>
      </c>
      <c r="AT8" s="15">
        <f t="shared" si="14"/>
        <v>0.54687253820702697</v>
      </c>
      <c r="AU8" s="15">
        <f t="shared" si="17"/>
        <v>0.56250000000000011</v>
      </c>
      <c r="AV8" s="15">
        <f t="shared" si="18"/>
        <v>0.58058220848918518</v>
      </c>
    </row>
    <row r="9" spans="1:48" ht="14.4" x14ac:dyDescent="0.3">
      <c r="A9" s="8">
        <f t="shared" si="19"/>
        <v>46048</v>
      </c>
      <c r="B9" s="16">
        <f>INDEX('01_12_OMRI-2000'!$E$4:$E$393,MATCH($A9,'01_12_OMRI-2000'!$A$4:$A$393,0))</f>
        <v>33602</v>
      </c>
      <c r="C9" s="17"/>
      <c r="D9" s="1">
        <f t="shared" ref="D9:D24" si="20">B9</f>
        <v>33602</v>
      </c>
      <c r="E9" s="16">
        <f>INDEX('01_12_OMRI-2000'!$D$4:$D$393,MATCH($A9,'01_12_OMRI-2000'!$A$4:$A$393,0))</f>
        <v>2300</v>
      </c>
      <c r="F9" s="17"/>
      <c r="G9" s="1">
        <f>E9</f>
        <v>2300</v>
      </c>
      <c r="H9" s="18">
        <f t="shared" si="15"/>
        <v>-6250</v>
      </c>
      <c r="I9" s="17"/>
      <c r="J9" s="1">
        <f>H9</f>
        <v>-6250</v>
      </c>
      <c r="K9" s="19">
        <f>INDEX('01_20_OMRI -6250'!$B10:$B406,MATCH($A9,'01_20_OMRI -6250'!$A10:$A406,0))/1.98</f>
        <v>3506.060606060606</v>
      </c>
      <c r="L9" s="17"/>
      <c r="M9" s="1">
        <f>K9</f>
        <v>3506.060606060606</v>
      </c>
      <c r="N9" s="20">
        <f>INDEX('01_20_OMRI -6250'!$C10:$C406,MATCH($A9,'01_20_OMRI -6250'!$A10:$A406,0))/1.98</f>
        <v>4207.575757575758</v>
      </c>
      <c r="O9" s="17"/>
      <c r="P9" s="7">
        <f>N9</f>
        <v>4207.575757575758</v>
      </c>
      <c r="Q9" s="1">
        <v>-5000</v>
      </c>
      <c r="R9" s="17"/>
      <c r="S9" s="1">
        <f t="shared" ref="S9:S24" si="21">Q9</f>
        <v>-5000</v>
      </c>
      <c r="T9" s="16">
        <f>INDEX('01_20_OMRI -5000'!$B10:$B399,MATCH($A9,'01_20_OMRI -5000'!$A10:$A399,0))/1.98</f>
        <v>2905.0505050505049</v>
      </c>
      <c r="U9" s="17"/>
      <c r="V9" s="1">
        <f t="shared" ref="V9:V24" si="22">T9</f>
        <v>2905.0505050505049</v>
      </c>
      <c r="W9" s="16">
        <f>INDEX('01_20_OMRI -5000'!$C10:$C399,MATCH($A9,'01_20_OMRI -5000'!$A10:$A399,0))/1.98</f>
        <v>3506.060606060606</v>
      </c>
      <c r="X9" s="17"/>
      <c r="Y9" s="7">
        <f>W9</f>
        <v>3506.060606060606</v>
      </c>
      <c r="Z9" s="1">
        <v>-3500</v>
      </c>
      <c r="AA9" s="17"/>
      <c r="AB9" s="7">
        <f>Z9</f>
        <v>-3500</v>
      </c>
      <c r="AC9" s="21">
        <f>INDEX('01_12_OMRI -3500'!$B10:$B399,MATCH($A9,'01_12_OMRI -3500'!$A10:$A399,0))/1.98</f>
        <v>2003.5353535353536</v>
      </c>
      <c r="AD9" s="17"/>
      <c r="AE9" s="1">
        <f>AC9</f>
        <v>2003.5353535353536</v>
      </c>
      <c r="AF9" s="20">
        <f>INDEX('01_12_OMRI -3500'!$C10:$C399,MATCH($A9,'01_12_OMRI -3500'!$A10:$A399,0))/1.98</f>
        <v>2704.5454545454545</v>
      </c>
      <c r="AG9" s="17"/>
      <c r="AH9" s="7">
        <f>AF9</f>
        <v>2704.5454545454545</v>
      </c>
      <c r="AI9" s="11">
        <v>-2000</v>
      </c>
      <c r="AJ9" s="17"/>
      <c r="AK9" s="1">
        <f>AI9</f>
        <v>-2000</v>
      </c>
      <c r="AL9" s="21">
        <f>INDEX('01_12_OMRI-2000'!$B10:$B399,MATCH($A9,'01_12_OMRI-2000'!$A10:$A399,0))/1.98</f>
        <v>1302.5252525252524</v>
      </c>
      <c r="AM9" s="17"/>
      <c r="AN9" s="1">
        <f>AL9</f>
        <v>1302.5252525252524</v>
      </c>
      <c r="AO9" s="20">
        <f>INDEX('01_12_OMRI-2000'!$C10:$C399,MATCH($A9,'01_12_OMRI-2000'!$A10:$A399,0))/1.98</f>
        <v>1803.030303030303</v>
      </c>
      <c r="AP9" s="17"/>
      <c r="AQ9" s="7">
        <f>AO9</f>
        <v>1803.030303030303</v>
      </c>
      <c r="AS9" s="15">
        <f t="shared" si="13"/>
        <v>0.54547240227853078</v>
      </c>
      <c r="AT9" s="15">
        <f t="shared" si="14"/>
        <v>0.54687253820702697</v>
      </c>
      <c r="AU9" s="15">
        <f t="shared" si="17"/>
        <v>0.57444754344561244</v>
      </c>
      <c r="AV9" s="15">
        <f t="shared" si="18"/>
        <v>0.58058220848918518</v>
      </c>
    </row>
    <row r="10" spans="1:48" ht="14.4" x14ac:dyDescent="0.3">
      <c r="A10" s="8">
        <f t="shared" si="19"/>
        <v>46049</v>
      </c>
      <c r="B10" s="16">
        <f>INDEX('01_12_OMRI-2000'!$E$4:$E$393,MATCH($A10,'01_12_OMRI-2000'!$A$4:$A$393,0))</f>
        <v>33217</v>
      </c>
      <c r="C10" s="17"/>
      <c r="D10" s="1">
        <f t="shared" si="20"/>
        <v>33217</v>
      </c>
      <c r="E10" s="16">
        <f>INDEX('01_12_OMRI-2000'!$D$4:$D$393,MATCH($A10,'01_12_OMRI-2000'!$A$4:$A$393,0))</f>
        <v>2200</v>
      </c>
      <c r="F10" s="17"/>
      <c r="G10" s="1">
        <f t="shared" ref="G10:G24" si="23">E10</f>
        <v>2200</v>
      </c>
      <c r="H10" s="18">
        <f t="shared" si="15"/>
        <v>-6250</v>
      </c>
      <c r="I10" s="17"/>
      <c r="J10" s="1">
        <f t="shared" ref="J10:J24" si="24">H10</f>
        <v>-6250</v>
      </c>
      <c r="K10" s="19">
        <f>INDEX('01_20_OMRI -6250'!$B11:$B407,MATCH($A10,'01_20_OMRI -6250'!$A11:$A407,0))/1.98</f>
        <v>3506.060606060606</v>
      </c>
      <c r="L10" s="17"/>
      <c r="M10" s="1">
        <f t="shared" ref="M10:M24" si="25">K10</f>
        <v>3506.060606060606</v>
      </c>
      <c r="N10" s="20">
        <f>INDEX('01_20_OMRI -6250'!$C11:$C407,MATCH($A10,'01_20_OMRI -6250'!$A11:$A407,0))/1.98</f>
        <v>4207.575757575758</v>
      </c>
      <c r="O10" s="17"/>
      <c r="P10" s="7">
        <f t="shared" ref="P10:P24" si="26">N10</f>
        <v>4207.575757575758</v>
      </c>
      <c r="Q10" s="1">
        <v>-5000</v>
      </c>
      <c r="R10" s="17"/>
      <c r="S10" s="1">
        <f t="shared" si="21"/>
        <v>-5000</v>
      </c>
      <c r="T10" s="16">
        <f>INDEX('01_20_OMRI -5000'!$B11:$B400,MATCH($A10,'01_20_OMRI -5000'!$A11:$A400,0))/1.98</f>
        <v>2805.0505050505049</v>
      </c>
      <c r="U10" s="17"/>
      <c r="V10" s="1">
        <f t="shared" si="22"/>
        <v>2805.0505050505049</v>
      </c>
      <c r="W10" s="16">
        <f>INDEX('01_20_OMRI -5000'!$C11:$C400,MATCH($A10,'01_20_OMRI -5000'!$A11:$A400,0))/1.98</f>
        <v>3506.060606060606</v>
      </c>
      <c r="X10" s="17"/>
      <c r="Y10" s="7">
        <f t="shared" ref="Y10:Y24" si="27">W10</f>
        <v>3506.060606060606</v>
      </c>
      <c r="Z10" s="1">
        <v>-3500</v>
      </c>
      <c r="AA10" s="17"/>
      <c r="AB10" s="7">
        <f t="shared" ref="AB10:AB24" si="28">Z10</f>
        <v>-3500</v>
      </c>
      <c r="AC10" s="21">
        <f>INDEX('01_12_OMRI -3500'!$B11:$B400,MATCH($A10,'01_12_OMRI -3500'!$A11:$A400,0))/1.98</f>
        <v>2003.5353535353536</v>
      </c>
      <c r="AD10" s="17"/>
      <c r="AE10" s="1">
        <f t="shared" ref="AE10:AE24" si="29">AC10</f>
        <v>2003.5353535353536</v>
      </c>
      <c r="AF10" s="20">
        <f>INDEX('01_12_OMRI -3500'!$C11:$C400,MATCH($A10,'01_12_OMRI -3500'!$A11:$A400,0))/1.98</f>
        <v>2704.5454545454545</v>
      </c>
      <c r="AG10" s="17"/>
      <c r="AH10" s="7">
        <f t="shared" ref="AH10:AH24" si="30">AF10</f>
        <v>2704.5454545454545</v>
      </c>
      <c r="AI10" s="11">
        <v>-2000</v>
      </c>
      <c r="AJ10" s="17"/>
      <c r="AK10" s="1">
        <f t="shared" ref="AK10:AK24" si="31">AI10</f>
        <v>-2000</v>
      </c>
      <c r="AL10" s="21">
        <f>INDEX('01_12_OMRI-2000'!$B11:$B400,MATCH($A10,'01_12_OMRI-2000'!$A11:$A400,0))/1.98</f>
        <v>1302.5252525252524</v>
      </c>
      <c r="AM10" s="17"/>
      <c r="AN10" s="1">
        <f t="shared" ref="AN10:AN24" si="32">AL10</f>
        <v>1302.5252525252524</v>
      </c>
      <c r="AO10" s="20">
        <f>INDEX('01_12_OMRI-2000'!$C11:$C400,MATCH($A10,'01_12_OMRI-2000'!$A11:$A400,0))/1.98</f>
        <v>1803.030303030303</v>
      </c>
      <c r="AP10" s="17"/>
      <c r="AQ10" s="7">
        <f t="shared" ref="AQ10:AQ24" si="33">AO10</f>
        <v>1803.030303030303</v>
      </c>
      <c r="AS10" s="15">
        <f t="shared" si="13"/>
        <v>0.54547240227853078</v>
      </c>
      <c r="AT10" s="15">
        <f t="shared" si="14"/>
        <v>0.55553777208706778</v>
      </c>
      <c r="AU10" s="15">
        <f t="shared" si="17"/>
        <v>0.57444754344561244</v>
      </c>
      <c r="AV10" s="15">
        <f t="shared" si="18"/>
        <v>0.58058220848918518</v>
      </c>
    </row>
    <row r="11" spans="1:48" ht="14.4" x14ac:dyDescent="0.3">
      <c r="A11" s="8">
        <f t="shared" si="19"/>
        <v>46050</v>
      </c>
      <c r="B11" s="16">
        <f>INDEX('01_12_OMRI-2000'!$E$4:$E$393,MATCH($A11,'01_12_OMRI-2000'!$A$4:$A$393,0))</f>
        <v>32914</v>
      </c>
      <c r="C11" s="17"/>
      <c r="D11" s="1">
        <f t="shared" si="20"/>
        <v>32914</v>
      </c>
      <c r="E11" s="16">
        <f>INDEX('01_12_OMRI-2000'!$D$4:$D$393,MATCH($A11,'01_12_OMRI-2000'!$A$4:$A$393,0))</f>
        <v>2100</v>
      </c>
      <c r="F11" s="17"/>
      <c r="G11" s="1">
        <f t="shared" si="23"/>
        <v>2100</v>
      </c>
      <c r="H11" s="18">
        <f t="shared" si="15"/>
        <v>-6250</v>
      </c>
      <c r="I11" s="17"/>
      <c r="J11" s="1">
        <f t="shared" si="24"/>
        <v>-6250</v>
      </c>
      <c r="K11" s="19">
        <f>INDEX('01_20_OMRI -6250'!$B12:$B408,MATCH($A11,'01_20_OMRI -6250'!$A12:$A408,0))/1.98</f>
        <v>3506.060606060606</v>
      </c>
      <c r="L11" s="17"/>
      <c r="M11" s="1">
        <f t="shared" si="25"/>
        <v>3506.060606060606</v>
      </c>
      <c r="N11" s="20">
        <f>INDEX('01_20_OMRI -6250'!$C12:$C408,MATCH($A11,'01_20_OMRI -6250'!$A12:$A408,0))/1.98</f>
        <v>4207.575757575758</v>
      </c>
      <c r="O11" s="17"/>
      <c r="P11" s="7">
        <f t="shared" si="26"/>
        <v>4207.575757575758</v>
      </c>
      <c r="Q11" s="1">
        <v>-5000</v>
      </c>
      <c r="R11" s="17"/>
      <c r="S11" s="1">
        <f t="shared" si="21"/>
        <v>-5000</v>
      </c>
      <c r="T11" s="16">
        <f>INDEX('01_20_OMRI -5000'!$B12:$B401,MATCH($A11,'01_20_OMRI -5000'!$A12:$A401,0))/1.98</f>
        <v>2805.0505050505049</v>
      </c>
      <c r="U11" s="17"/>
      <c r="V11" s="1">
        <f t="shared" si="22"/>
        <v>2805.0505050505049</v>
      </c>
      <c r="W11" s="16">
        <f>INDEX('01_20_OMRI -5000'!$C12:$C401,MATCH($A11,'01_20_OMRI -5000'!$A12:$A401,0))/1.98</f>
        <v>3506.060606060606</v>
      </c>
      <c r="X11" s="17"/>
      <c r="Y11" s="7">
        <f t="shared" si="27"/>
        <v>3506.060606060606</v>
      </c>
      <c r="Z11" s="1">
        <v>-3500</v>
      </c>
      <c r="AA11" s="17"/>
      <c r="AB11" s="7">
        <f t="shared" si="28"/>
        <v>-3500</v>
      </c>
      <c r="AC11" s="21">
        <f>INDEX('01_12_OMRI -3500'!$B12:$B401,MATCH($A11,'01_12_OMRI -3500'!$A12:$A401,0))/1.98</f>
        <v>1903.5353535353536</v>
      </c>
      <c r="AD11" s="17"/>
      <c r="AE11" s="1">
        <f t="shared" si="29"/>
        <v>1903.5353535353536</v>
      </c>
      <c r="AF11" s="20">
        <f>INDEX('01_12_OMRI -3500'!$C12:$C401,MATCH($A11,'01_12_OMRI -3500'!$A12:$A401,0))/1.98</f>
        <v>2704.5454545454545</v>
      </c>
      <c r="AG11" s="17"/>
      <c r="AH11" s="7">
        <f t="shared" si="30"/>
        <v>2704.5454545454545</v>
      </c>
      <c r="AI11" s="11">
        <v>-2000</v>
      </c>
      <c r="AJ11" s="17"/>
      <c r="AK11" s="1">
        <f t="shared" si="31"/>
        <v>-2000</v>
      </c>
      <c r="AL11" s="21">
        <f>INDEX('01_12_OMRI-2000'!$B12:$B401,MATCH($A11,'01_12_OMRI-2000'!$A12:$A401,0))/1.98</f>
        <v>1202.0202020202021</v>
      </c>
      <c r="AM11" s="17"/>
      <c r="AN11" s="1">
        <f t="shared" si="32"/>
        <v>1202.0202020202021</v>
      </c>
      <c r="AO11" s="20">
        <f>INDEX('01_12_OMRI-2000'!$C12:$C401,MATCH($A11,'01_12_OMRI-2000'!$A12:$A401,0))/1.98</f>
        <v>1803.030303030303</v>
      </c>
      <c r="AP11" s="17"/>
      <c r="AQ11" s="7">
        <f t="shared" si="33"/>
        <v>1803.030303030303</v>
      </c>
      <c r="AS11" s="15">
        <f t="shared" si="13"/>
        <v>0.54547240227853078</v>
      </c>
      <c r="AT11" s="15">
        <f t="shared" si="14"/>
        <v>0.55553777208706778</v>
      </c>
      <c r="AU11" s="15">
        <f t="shared" si="17"/>
        <v>0.58691363437088995</v>
      </c>
      <c r="AV11" s="15">
        <f t="shared" si="18"/>
        <v>0.6</v>
      </c>
    </row>
    <row r="12" spans="1:48" ht="14.4" x14ac:dyDescent="0.3">
      <c r="A12" s="8">
        <f t="shared" si="19"/>
        <v>46051</v>
      </c>
      <c r="B12" s="16">
        <f>INDEX('01_12_OMRI-2000'!$E$4:$E$393,MATCH($A12,'01_12_OMRI-2000'!$A$4:$A$393,0))</f>
        <v>32626</v>
      </c>
      <c r="C12" s="17"/>
      <c r="D12" s="1">
        <f t="shared" si="20"/>
        <v>32626</v>
      </c>
      <c r="E12" s="16">
        <f>INDEX('01_12_OMRI-2000'!$D$4:$D$393,MATCH($A12,'01_12_OMRI-2000'!$A$4:$A$393,0))</f>
        <v>2000</v>
      </c>
      <c r="F12" s="17"/>
      <c r="G12" s="1">
        <f t="shared" si="23"/>
        <v>2000</v>
      </c>
      <c r="H12" s="18">
        <f t="shared" si="15"/>
        <v>-6250</v>
      </c>
      <c r="I12" s="17"/>
      <c r="J12" s="1">
        <f t="shared" si="24"/>
        <v>-6250</v>
      </c>
      <c r="K12" s="19">
        <f>INDEX('01_20_OMRI -6250'!$B13:$B409,MATCH($A12,'01_20_OMRI -6250'!$A13:$A409,0))/1.98</f>
        <v>3406.060606060606</v>
      </c>
      <c r="L12" s="17"/>
      <c r="M12" s="1">
        <f t="shared" si="25"/>
        <v>3406.060606060606</v>
      </c>
      <c r="N12" s="20">
        <f>INDEX('01_20_OMRI -6250'!$C13:$C409,MATCH($A12,'01_20_OMRI -6250'!$A13:$A409,0))/1.98</f>
        <v>4207.575757575758</v>
      </c>
      <c r="O12" s="17"/>
      <c r="P12" s="7">
        <f t="shared" si="26"/>
        <v>4207.575757575758</v>
      </c>
      <c r="Q12" s="1">
        <v>-5000</v>
      </c>
      <c r="R12" s="17"/>
      <c r="S12" s="1">
        <f t="shared" si="21"/>
        <v>-5000</v>
      </c>
      <c r="T12" s="16">
        <f>INDEX('01_20_OMRI -5000'!$B13:$B402,MATCH($A12,'01_20_OMRI -5000'!$A13:$A402,0))/1.98</f>
        <v>2704.5454545454545</v>
      </c>
      <c r="U12" s="17"/>
      <c r="V12" s="1">
        <f t="shared" si="22"/>
        <v>2704.5454545454545</v>
      </c>
      <c r="W12" s="16">
        <f>INDEX('01_20_OMRI -5000'!$C13:$C402,MATCH($A12,'01_20_OMRI -5000'!$A13:$A402,0))/1.98</f>
        <v>3506.060606060606</v>
      </c>
      <c r="X12" s="17"/>
      <c r="Y12" s="7">
        <f t="shared" si="27"/>
        <v>3506.060606060606</v>
      </c>
      <c r="Z12" s="1">
        <v>-3500</v>
      </c>
      <c r="AA12" s="17"/>
      <c r="AB12" s="7">
        <f t="shared" si="28"/>
        <v>-3500</v>
      </c>
      <c r="AC12" s="21">
        <f>INDEX('01_12_OMRI -3500'!$B13:$B402,MATCH($A12,'01_12_OMRI -3500'!$A13:$A402,0))/1.98</f>
        <v>1903.5353535353536</v>
      </c>
      <c r="AD12" s="17"/>
      <c r="AE12" s="1">
        <f t="shared" si="29"/>
        <v>1903.5353535353536</v>
      </c>
      <c r="AF12" s="20">
        <f>INDEX('01_12_OMRI -3500'!$C13:$C402,MATCH($A12,'01_12_OMRI -3500'!$A13:$A402,0))/1.98</f>
        <v>2704.5454545454545</v>
      </c>
      <c r="AG12" s="17"/>
      <c r="AH12" s="7">
        <f t="shared" si="30"/>
        <v>2704.5454545454545</v>
      </c>
      <c r="AI12" s="11">
        <v>-2000</v>
      </c>
      <c r="AJ12" s="17"/>
      <c r="AK12" s="1">
        <f t="shared" si="31"/>
        <v>-2000</v>
      </c>
      <c r="AL12" s="21">
        <f>INDEX('01_12_OMRI-2000'!$B13:$B402,MATCH($A12,'01_12_OMRI-2000'!$A13:$A402,0))/1.98</f>
        <v>1102.0202020202021</v>
      </c>
      <c r="AM12" s="17"/>
      <c r="AN12" s="1">
        <f t="shared" si="32"/>
        <v>1102.0202020202021</v>
      </c>
      <c r="AO12" s="20">
        <f>INDEX('01_12_OMRI-2000'!$C13:$C402,MATCH($A12,'01_12_OMRI-2000'!$A13:$A402,0))/1.98</f>
        <v>1803.030303030303</v>
      </c>
      <c r="AP12" s="17"/>
      <c r="AQ12" s="7">
        <f t="shared" si="33"/>
        <v>1803.030303030303</v>
      </c>
      <c r="AS12" s="15">
        <f t="shared" si="13"/>
        <v>0.55263681592039804</v>
      </c>
      <c r="AT12" s="15">
        <f t="shared" si="14"/>
        <v>0.56452793364235188</v>
      </c>
      <c r="AU12" s="15">
        <f t="shared" si="17"/>
        <v>0.58691363437088995</v>
      </c>
      <c r="AV12" s="15">
        <f t="shared" si="18"/>
        <v>0.62065368567454793</v>
      </c>
    </row>
    <row r="13" spans="1:48" ht="14.4" x14ac:dyDescent="0.3">
      <c r="A13" s="8">
        <f t="shared" si="19"/>
        <v>46052</v>
      </c>
      <c r="B13" s="16">
        <f>INDEX('01_12_OMRI-2000'!$E$4:$E$393,MATCH($A13,'01_12_OMRI-2000'!$A$4:$A$393,0))</f>
        <v>31000</v>
      </c>
      <c r="C13" s="17"/>
      <c r="D13" s="1">
        <f t="shared" si="20"/>
        <v>31000</v>
      </c>
      <c r="E13" s="16">
        <f>INDEX('01_12_OMRI-2000'!$D$4:$D$393,MATCH($A13,'01_12_OMRI-2000'!$A$4:$A$393,0))</f>
        <v>1900</v>
      </c>
      <c r="F13" s="17"/>
      <c r="G13" s="1">
        <f t="shared" si="23"/>
        <v>1900</v>
      </c>
      <c r="H13" s="18">
        <f t="shared" si="15"/>
        <v>-6250</v>
      </c>
      <c r="I13" s="17"/>
      <c r="J13" s="1">
        <f t="shared" si="24"/>
        <v>-6250</v>
      </c>
      <c r="K13" s="19">
        <f>INDEX('01_20_OMRI -6250'!$B14:$B410,MATCH($A13,'01_20_OMRI -6250'!$A14:$A410,0))/1.98</f>
        <v>3406.060606060606</v>
      </c>
      <c r="L13" s="17"/>
      <c r="M13" s="1">
        <f t="shared" si="25"/>
        <v>3406.060606060606</v>
      </c>
      <c r="N13" s="20">
        <f>INDEX('01_20_OMRI -6250'!$C14:$C410,MATCH($A13,'01_20_OMRI -6250'!$A14:$A410,0))/1.98</f>
        <v>4207.575757575758</v>
      </c>
      <c r="O13" s="17"/>
      <c r="P13" s="7">
        <f t="shared" si="26"/>
        <v>4207.575757575758</v>
      </c>
      <c r="Q13" s="1">
        <v>-5000</v>
      </c>
      <c r="R13" s="17"/>
      <c r="S13" s="1">
        <f t="shared" si="21"/>
        <v>-5000</v>
      </c>
      <c r="T13" s="16">
        <f>INDEX('01_20_OMRI -5000'!$B14:$B403,MATCH($A13,'01_20_OMRI -5000'!$A14:$A403,0))/1.98</f>
        <v>2704.5454545454545</v>
      </c>
      <c r="U13" s="17"/>
      <c r="V13" s="1">
        <f t="shared" si="22"/>
        <v>2704.5454545454545</v>
      </c>
      <c r="W13" s="16">
        <f>INDEX('01_20_OMRI -5000'!$C14:$C403,MATCH($A13,'01_20_OMRI -5000'!$A14:$A403,0))/1.98</f>
        <v>3506.060606060606</v>
      </c>
      <c r="X13" s="17"/>
      <c r="Y13" s="7">
        <f t="shared" si="27"/>
        <v>3506.060606060606</v>
      </c>
      <c r="Z13" s="1">
        <v>-3500</v>
      </c>
      <c r="AA13" s="17"/>
      <c r="AB13" s="7">
        <f t="shared" si="28"/>
        <v>-3500</v>
      </c>
      <c r="AC13" s="21">
        <f>INDEX('01_12_OMRI -3500'!$B14:$B403,MATCH($A13,'01_12_OMRI -3500'!$A14:$A403,0))/1.98</f>
        <v>1803.030303030303</v>
      </c>
      <c r="AD13" s="17"/>
      <c r="AE13" s="1">
        <f t="shared" si="29"/>
        <v>1803.030303030303</v>
      </c>
      <c r="AF13" s="20">
        <f>INDEX('01_12_OMRI -3500'!$C14:$C403,MATCH($A13,'01_12_OMRI -3500'!$A14:$A403,0))/1.98</f>
        <v>2704.5454545454545</v>
      </c>
      <c r="AG13" s="17"/>
      <c r="AH13" s="7">
        <f t="shared" si="30"/>
        <v>2704.5454545454545</v>
      </c>
      <c r="AI13" s="11">
        <v>-2000</v>
      </c>
      <c r="AJ13" s="17"/>
      <c r="AK13" s="1">
        <f t="shared" si="31"/>
        <v>-2000</v>
      </c>
      <c r="AL13" s="21">
        <f>INDEX('01_12_OMRI-2000'!$B14:$B403,MATCH($A13,'01_12_OMRI-2000'!$A14:$A403,0))/1.98</f>
        <v>1102.0202020202021</v>
      </c>
      <c r="AM13" s="17"/>
      <c r="AN13" s="1">
        <f t="shared" si="32"/>
        <v>1102.0202020202021</v>
      </c>
      <c r="AO13" s="20">
        <f>INDEX('01_12_OMRI-2000'!$C14:$C403,MATCH($A13,'01_12_OMRI-2000'!$A14:$A403,0))/1.98</f>
        <v>1803.030303030303</v>
      </c>
      <c r="AP13" s="17"/>
      <c r="AQ13" s="7">
        <f t="shared" si="33"/>
        <v>1803.030303030303</v>
      </c>
      <c r="AS13" s="15">
        <f t="shared" si="13"/>
        <v>0.55263681592039804</v>
      </c>
      <c r="AT13" s="15">
        <f t="shared" si="14"/>
        <v>0.56452793364235188</v>
      </c>
      <c r="AU13" s="15">
        <f t="shared" si="17"/>
        <v>0.6</v>
      </c>
      <c r="AV13" s="15">
        <f t="shared" si="18"/>
        <v>0.62065368567454793</v>
      </c>
    </row>
    <row r="14" spans="1:48" ht="14.4" x14ac:dyDescent="0.3">
      <c r="A14" s="8">
        <f t="shared" si="19"/>
        <v>46053</v>
      </c>
      <c r="B14" s="16">
        <f>INDEX('01_12_OMRI-2000'!$E$4:$E$393,MATCH($A14,'01_12_OMRI-2000'!$A$4:$A$393,0))</f>
        <v>30000</v>
      </c>
      <c r="C14" s="17"/>
      <c r="D14" s="1">
        <f t="shared" si="20"/>
        <v>30000</v>
      </c>
      <c r="E14" s="16">
        <f>INDEX('01_12_OMRI-2000'!$D$4:$D$393,MATCH($A14,'01_12_OMRI-2000'!$A$4:$A$393,0))</f>
        <v>1800</v>
      </c>
      <c r="F14" s="17"/>
      <c r="G14" s="1">
        <f t="shared" si="23"/>
        <v>1800</v>
      </c>
      <c r="H14" s="18">
        <f t="shared" si="15"/>
        <v>-6250</v>
      </c>
      <c r="I14" s="17"/>
      <c r="J14" s="1">
        <f t="shared" si="24"/>
        <v>-6250</v>
      </c>
      <c r="K14" s="19">
        <f>INDEX('01_20_OMRI -6250'!$B15:$B411,MATCH($A14,'01_20_OMRI -6250'!$A15:$A411,0))/1.98</f>
        <v>3306.060606060606</v>
      </c>
      <c r="L14" s="17"/>
      <c r="M14" s="1">
        <f t="shared" si="25"/>
        <v>3306.060606060606</v>
      </c>
      <c r="N14" s="20">
        <f>INDEX('01_20_OMRI -6250'!$C15:$C411,MATCH($A14,'01_20_OMRI -6250'!$A15:$A411,0))/1.98</f>
        <v>4207.575757575758</v>
      </c>
      <c r="O14" s="17"/>
      <c r="P14" s="7">
        <f t="shared" si="26"/>
        <v>4207.575757575758</v>
      </c>
      <c r="Q14" s="1">
        <v>-5000</v>
      </c>
      <c r="R14" s="17"/>
      <c r="S14" s="1">
        <f t="shared" si="21"/>
        <v>-5000</v>
      </c>
      <c r="T14" s="16">
        <f>INDEX('01_20_OMRI -5000'!$B15:$B404,MATCH($A14,'01_20_OMRI -5000'!$A15:$A404,0))/1.98</f>
        <v>2604.5454545454545</v>
      </c>
      <c r="U14" s="17"/>
      <c r="V14" s="1">
        <f t="shared" si="22"/>
        <v>2604.5454545454545</v>
      </c>
      <c r="W14" s="16">
        <f>INDEX('01_20_OMRI -5000'!$C15:$C404,MATCH($A14,'01_20_OMRI -5000'!$A15:$A404,0))/1.98</f>
        <v>3506.060606060606</v>
      </c>
      <c r="X14" s="17"/>
      <c r="Y14" s="7">
        <f t="shared" si="27"/>
        <v>3506.060606060606</v>
      </c>
      <c r="Z14" s="1">
        <v>-3500</v>
      </c>
      <c r="AA14" s="17"/>
      <c r="AB14" s="7">
        <f t="shared" si="28"/>
        <v>-3500</v>
      </c>
      <c r="AC14" s="21">
        <f>INDEX('01_12_OMRI -3500'!$B15:$B404,MATCH($A14,'01_12_OMRI -3500'!$A15:$A404,0))/1.98</f>
        <v>1803.030303030303</v>
      </c>
      <c r="AD14" s="17"/>
      <c r="AE14" s="1">
        <f t="shared" si="29"/>
        <v>1803.030303030303</v>
      </c>
      <c r="AF14" s="20">
        <f>INDEX('01_12_OMRI -3500'!$C15:$C404,MATCH($A14,'01_12_OMRI -3500'!$A15:$A404,0))/1.98</f>
        <v>2704.5454545454545</v>
      </c>
      <c r="AG14" s="17"/>
      <c r="AH14" s="7">
        <f t="shared" si="30"/>
        <v>2704.5454545454545</v>
      </c>
      <c r="AI14" s="11">
        <v>-2000</v>
      </c>
      <c r="AJ14" s="17"/>
      <c r="AK14" s="1">
        <f t="shared" si="31"/>
        <v>-2000</v>
      </c>
      <c r="AL14" s="21">
        <f>INDEX('01_12_OMRI-2000'!$B15:$B404,MATCH($A14,'01_12_OMRI-2000'!$A15:$A404,0))/1.98</f>
        <v>1102.0202020202021</v>
      </c>
      <c r="AM14" s="17"/>
      <c r="AN14" s="1">
        <f t="shared" si="32"/>
        <v>1102.0202020202021</v>
      </c>
      <c r="AO14" s="20">
        <f>INDEX('01_12_OMRI-2000'!$C15:$C404,MATCH($A14,'01_12_OMRI-2000'!$A15:$A404,0))/1.98</f>
        <v>1803.030303030303</v>
      </c>
      <c r="AP14" s="17"/>
      <c r="AQ14" s="7">
        <f t="shared" si="33"/>
        <v>1803.030303030303</v>
      </c>
      <c r="AS14" s="15">
        <f t="shared" si="13"/>
        <v>0.55999193385763257</v>
      </c>
      <c r="AT14" s="15">
        <f t="shared" si="14"/>
        <v>0.57376642697743618</v>
      </c>
      <c r="AU14" s="15">
        <f t="shared" si="17"/>
        <v>0.6</v>
      </c>
      <c r="AV14" s="15">
        <f t="shared" si="18"/>
        <v>0.62065368567454793</v>
      </c>
    </row>
    <row r="15" spans="1:48" ht="14.4" x14ac:dyDescent="0.3">
      <c r="A15" s="8">
        <f t="shared" si="19"/>
        <v>46054</v>
      </c>
      <c r="B15" s="16">
        <f>INDEX('01_12_OMRI-2000'!$E$4:$E$393,MATCH($A15,'01_12_OMRI-2000'!$A$4:$A$393,0))</f>
        <v>28000</v>
      </c>
      <c r="C15" s="17"/>
      <c r="D15" s="1">
        <f t="shared" si="20"/>
        <v>28000</v>
      </c>
      <c r="E15" s="16">
        <f>INDEX('01_12_OMRI-2000'!$D$4:$D$393,MATCH($A15,'01_12_OMRI-2000'!$A$4:$A$393,0))</f>
        <v>1800</v>
      </c>
      <c r="F15" s="17"/>
      <c r="G15" s="1">
        <f t="shared" si="23"/>
        <v>1800</v>
      </c>
      <c r="H15" s="18">
        <f t="shared" si="15"/>
        <v>-6250</v>
      </c>
      <c r="I15" s="17"/>
      <c r="J15" s="1">
        <f t="shared" si="24"/>
        <v>-6250</v>
      </c>
      <c r="K15" s="19">
        <f>INDEX('01_20_OMRI -6250'!$B16:$B412,MATCH($A15,'01_20_OMRI -6250'!$A16:$A412,0))/1.98</f>
        <v>3306.060606060606</v>
      </c>
      <c r="L15" s="17"/>
      <c r="M15" s="1">
        <f t="shared" si="25"/>
        <v>3306.060606060606</v>
      </c>
      <c r="N15" s="20">
        <f>INDEX('01_20_OMRI -6250'!$C16:$C412,MATCH($A15,'01_20_OMRI -6250'!$A16:$A412,0))/1.98</f>
        <v>4207.575757575758</v>
      </c>
      <c r="O15" s="17"/>
      <c r="P15" s="7">
        <f t="shared" si="26"/>
        <v>4207.575757575758</v>
      </c>
      <c r="Q15" s="1">
        <v>-5000</v>
      </c>
      <c r="R15" s="17"/>
      <c r="S15" s="1">
        <f t="shared" si="21"/>
        <v>-5000</v>
      </c>
      <c r="T15" s="16">
        <f>INDEX('01_20_OMRI -5000'!$B16:$B405,MATCH($A15,'01_20_OMRI -5000'!$A16:$A405,0))/1.98</f>
        <v>2604.5454545454545</v>
      </c>
      <c r="U15" s="17"/>
      <c r="V15" s="1">
        <f t="shared" si="22"/>
        <v>2604.5454545454545</v>
      </c>
      <c r="W15" s="16">
        <f>INDEX('01_20_OMRI -5000'!$C16:$C405,MATCH($A15,'01_20_OMRI -5000'!$A16:$A405,0))/1.98</f>
        <v>3506.060606060606</v>
      </c>
      <c r="X15" s="17"/>
      <c r="Y15" s="7">
        <f t="shared" si="27"/>
        <v>3506.060606060606</v>
      </c>
      <c r="Z15" s="1">
        <v>-3500</v>
      </c>
      <c r="AA15" s="17"/>
      <c r="AB15" s="7">
        <f t="shared" si="28"/>
        <v>-3500</v>
      </c>
      <c r="AC15" s="21">
        <f>INDEX('01_12_OMRI -3500'!$B16:$B405,MATCH($A15,'01_12_OMRI -3500'!$A16:$A405,0))/1.98</f>
        <v>1803.030303030303</v>
      </c>
      <c r="AD15" s="17"/>
      <c r="AE15" s="1">
        <f t="shared" si="29"/>
        <v>1803.030303030303</v>
      </c>
      <c r="AF15" s="20">
        <f>INDEX('01_12_OMRI -3500'!$C16:$C405,MATCH($A15,'01_12_OMRI -3500'!$A16:$A405,0))/1.98</f>
        <v>2704.5454545454545</v>
      </c>
      <c r="AG15" s="17"/>
      <c r="AH15" s="7">
        <f t="shared" si="30"/>
        <v>2704.5454545454545</v>
      </c>
      <c r="AI15" s="11">
        <v>-2000</v>
      </c>
      <c r="AJ15" s="17"/>
      <c r="AK15" s="1">
        <f t="shared" si="31"/>
        <v>-2000</v>
      </c>
      <c r="AL15" s="21">
        <f>INDEX('01_12_OMRI-2000'!$B16:$B405,MATCH($A15,'01_12_OMRI-2000'!$A16:$A405,0))/1.98</f>
        <v>1002.0202020202021</v>
      </c>
      <c r="AM15" s="17"/>
      <c r="AN15" s="1">
        <f t="shared" si="32"/>
        <v>1002.0202020202021</v>
      </c>
      <c r="AO15" s="20">
        <f>INDEX('01_12_OMRI-2000'!$C16:$C405,MATCH($A15,'01_12_OMRI-2000'!$A16:$A405,0))/1.98</f>
        <v>1803.030303030303</v>
      </c>
      <c r="AP15" s="17"/>
      <c r="AQ15" s="7">
        <f t="shared" si="33"/>
        <v>1803.030303030303</v>
      </c>
      <c r="AS15" s="15">
        <f t="shared" si="13"/>
        <v>0.55999193385763257</v>
      </c>
      <c r="AT15" s="15">
        <f t="shared" si="14"/>
        <v>0.57376642697743618</v>
      </c>
      <c r="AU15" s="15">
        <f t="shared" si="17"/>
        <v>0.6</v>
      </c>
      <c r="AV15" s="15">
        <f t="shared" si="18"/>
        <v>0.64277997839395029</v>
      </c>
    </row>
    <row r="16" spans="1:48" ht="14.4" x14ac:dyDescent="0.3">
      <c r="A16" s="8">
        <f t="shared" si="19"/>
        <v>46055</v>
      </c>
      <c r="B16" s="16">
        <f>INDEX('01_12_OMRI-2000'!$E$4:$E$393,MATCH($A16,'01_12_OMRI-2000'!$A$4:$A$393,0))</f>
        <v>25000</v>
      </c>
      <c r="C16" s="17"/>
      <c r="D16" s="1">
        <f t="shared" si="20"/>
        <v>25000</v>
      </c>
      <c r="E16" s="16">
        <f>INDEX('01_12_OMRI-2000'!$D$4:$D$393,MATCH($A16,'01_12_OMRI-2000'!$A$4:$A$393,0))</f>
        <v>1800</v>
      </c>
      <c r="F16" s="17"/>
      <c r="G16" s="1">
        <f t="shared" si="23"/>
        <v>1800</v>
      </c>
      <c r="H16" s="18">
        <f t="shared" si="15"/>
        <v>-6250</v>
      </c>
      <c r="I16" s="17"/>
      <c r="J16" s="1">
        <f t="shared" si="24"/>
        <v>-6250</v>
      </c>
      <c r="K16" s="19">
        <f>INDEX('01_20_OMRI -6250'!$B17:$B413,MATCH($A16,'01_20_OMRI -6250'!$A17:$A413,0))/1.98</f>
        <v>3306.060606060606</v>
      </c>
      <c r="L16" s="17"/>
      <c r="M16" s="1">
        <f t="shared" si="25"/>
        <v>3306.060606060606</v>
      </c>
      <c r="N16" s="20">
        <f>INDEX('01_20_OMRI -6250'!$C17:$C413,MATCH($A16,'01_20_OMRI -6250'!$A17:$A413,0))/1.98</f>
        <v>4207.575757575758</v>
      </c>
      <c r="O16" s="17"/>
      <c r="P16" s="7">
        <f t="shared" si="26"/>
        <v>4207.575757575758</v>
      </c>
      <c r="Q16" s="1">
        <v>-5000</v>
      </c>
      <c r="R16" s="17"/>
      <c r="S16" s="1">
        <f t="shared" si="21"/>
        <v>-5000</v>
      </c>
      <c r="T16" s="16">
        <f>INDEX('01_20_OMRI -5000'!$B17:$B406,MATCH($A16,'01_20_OMRI -5000'!$A17:$A406,0))/1.98</f>
        <v>2604.5454545454545</v>
      </c>
      <c r="U16" s="17"/>
      <c r="V16" s="1">
        <f t="shared" si="22"/>
        <v>2604.5454545454545</v>
      </c>
      <c r="W16" s="16">
        <f>INDEX('01_20_OMRI -5000'!$C17:$C406,MATCH($A16,'01_20_OMRI -5000'!$A17:$A406,0))/1.98</f>
        <v>3506.060606060606</v>
      </c>
      <c r="X16" s="17"/>
      <c r="Y16" s="7">
        <f t="shared" si="27"/>
        <v>3506.060606060606</v>
      </c>
      <c r="Z16" s="1">
        <v>-3500</v>
      </c>
      <c r="AA16" s="17"/>
      <c r="AB16" s="7">
        <f t="shared" si="28"/>
        <v>-3500</v>
      </c>
      <c r="AC16" s="21">
        <f>INDEX('01_12_OMRI -3500'!$B17:$B406,MATCH($A16,'01_12_OMRI -3500'!$A17:$A406,0))/1.98</f>
        <v>1803.030303030303</v>
      </c>
      <c r="AD16" s="17"/>
      <c r="AE16" s="1">
        <f t="shared" si="29"/>
        <v>1803.030303030303</v>
      </c>
      <c r="AF16" s="20">
        <f>INDEX('01_12_OMRI -3500'!$C17:$C406,MATCH($A16,'01_12_OMRI -3500'!$A17:$A406,0))/1.98</f>
        <v>2704.5454545454545</v>
      </c>
      <c r="AG16" s="17"/>
      <c r="AH16" s="7">
        <f t="shared" si="30"/>
        <v>2704.5454545454545</v>
      </c>
      <c r="AI16" s="11">
        <v>-2000</v>
      </c>
      <c r="AJ16" s="17"/>
      <c r="AK16" s="1">
        <f t="shared" si="31"/>
        <v>-2000</v>
      </c>
      <c r="AL16" s="21">
        <f>INDEX('01_12_OMRI-2000'!$B17:$B406,MATCH($A16,'01_12_OMRI-2000'!$A17:$A406,0))/1.98</f>
        <v>1002.0202020202021</v>
      </c>
      <c r="AM16" s="17"/>
      <c r="AN16" s="1">
        <f t="shared" si="32"/>
        <v>1002.0202020202021</v>
      </c>
      <c r="AO16" s="20">
        <f>INDEX('01_12_OMRI-2000'!$C17:$C406,MATCH($A16,'01_12_OMRI-2000'!$A17:$A406,0))/1.98</f>
        <v>1803.030303030303</v>
      </c>
      <c r="AP16" s="17"/>
      <c r="AQ16" s="7">
        <f t="shared" si="33"/>
        <v>1803.030303030303</v>
      </c>
      <c r="AS16" s="15">
        <f t="shared" si="13"/>
        <v>0.55999193385763257</v>
      </c>
      <c r="AT16" s="15">
        <f t="shared" si="14"/>
        <v>0.57376642697743618</v>
      </c>
      <c r="AU16" s="15">
        <f t="shared" si="17"/>
        <v>0.6</v>
      </c>
      <c r="AV16" s="15">
        <f t="shared" si="18"/>
        <v>0.64277997839395029</v>
      </c>
    </row>
    <row r="17" spans="1:48" ht="14.4" x14ac:dyDescent="0.3">
      <c r="A17" s="8">
        <f t="shared" si="19"/>
        <v>46056</v>
      </c>
      <c r="B17" s="16">
        <f>INDEX('01_12_OMRI-2000'!$E$4:$E$393,MATCH($A17,'01_12_OMRI-2000'!$A$4:$A$393,0))</f>
        <v>25000</v>
      </c>
      <c r="C17" s="17"/>
      <c r="D17" s="1">
        <f t="shared" si="20"/>
        <v>25000</v>
      </c>
      <c r="E17" s="16">
        <f>INDEX('01_12_OMRI-2000'!$D$4:$D$393,MATCH($A17,'01_12_OMRI-2000'!$A$4:$A$393,0))</f>
        <v>1800</v>
      </c>
      <c r="F17" s="17"/>
      <c r="G17" s="1">
        <f t="shared" si="23"/>
        <v>1800</v>
      </c>
      <c r="H17" s="18">
        <f t="shared" si="15"/>
        <v>-6250</v>
      </c>
      <c r="I17" s="17"/>
      <c r="J17" s="1">
        <f t="shared" si="24"/>
        <v>-6250</v>
      </c>
      <c r="K17" s="19">
        <f>INDEX('01_20_OMRI -6250'!$B18:$B414,MATCH($A17,'01_20_OMRI -6250'!$A18:$A414,0))/1.98</f>
        <v>3306.060606060606</v>
      </c>
      <c r="L17" s="17"/>
      <c r="M17" s="1">
        <f t="shared" si="25"/>
        <v>3306.060606060606</v>
      </c>
      <c r="N17" s="20">
        <f>INDEX('01_20_OMRI -6250'!$C18:$C414,MATCH($A17,'01_20_OMRI -6250'!$A18:$A414,0))/1.98</f>
        <v>4207.575757575758</v>
      </c>
      <c r="O17" s="17"/>
      <c r="P17" s="7">
        <f t="shared" si="26"/>
        <v>4207.575757575758</v>
      </c>
      <c r="Q17" s="1">
        <v>-5000</v>
      </c>
      <c r="R17" s="17"/>
      <c r="S17" s="1">
        <f t="shared" si="21"/>
        <v>-5000</v>
      </c>
      <c r="T17" s="16">
        <f>INDEX('01_20_OMRI -5000'!$B18:$B407,MATCH($A17,'01_20_OMRI -5000'!$A18:$A407,0))/1.98</f>
        <v>2604.5454545454545</v>
      </c>
      <c r="U17" s="17"/>
      <c r="V17" s="1">
        <f t="shared" si="22"/>
        <v>2604.5454545454545</v>
      </c>
      <c r="W17" s="16">
        <f>INDEX('01_20_OMRI -5000'!$C18:$C407,MATCH($A17,'01_20_OMRI -5000'!$A18:$A407,0))/1.98</f>
        <v>3506.060606060606</v>
      </c>
      <c r="X17" s="17"/>
      <c r="Y17" s="7">
        <f t="shared" si="27"/>
        <v>3506.060606060606</v>
      </c>
      <c r="Z17" s="1">
        <v>-3500</v>
      </c>
      <c r="AA17" s="17"/>
      <c r="AB17" s="7">
        <f t="shared" si="28"/>
        <v>-3500</v>
      </c>
      <c r="AC17" s="21">
        <f>INDEX('01_12_OMRI -3500'!$B18:$B407,MATCH($A17,'01_12_OMRI -3500'!$A18:$A407,0))/1.98</f>
        <v>1803.030303030303</v>
      </c>
      <c r="AD17" s="17"/>
      <c r="AE17" s="1">
        <f t="shared" si="29"/>
        <v>1803.030303030303</v>
      </c>
      <c r="AF17" s="20">
        <f>INDEX('01_12_OMRI -3500'!$C18:$C407,MATCH($A17,'01_12_OMRI -3500'!$A18:$A407,0))/1.98</f>
        <v>2704.5454545454545</v>
      </c>
      <c r="AG17" s="17"/>
      <c r="AH17" s="7">
        <f t="shared" si="30"/>
        <v>2704.5454545454545</v>
      </c>
      <c r="AI17" s="11">
        <v>-2000</v>
      </c>
      <c r="AJ17" s="17"/>
      <c r="AK17" s="1">
        <f t="shared" si="31"/>
        <v>-2000</v>
      </c>
      <c r="AL17" s="21">
        <f>INDEX('01_12_OMRI-2000'!$B18:$B407,MATCH($A17,'01_12_OMRI-2000'!$A18:$A407,0))/1.98</f>
        <v>1002.0202020202021</v>
      </c>
      <c r="AM17" s="17"/>
      <c r="AN17" s="1">
        <f t="shared" si="32"/>
        <v>1002.0202020202021</v>
      </c>
      <c r="AO17" s="20">
        <f>INDEX('01_12_OMRI-2000'!$C18:$C407,MATCH($A17,'01_12_OMRI-2000'!$A18:$A407,0))/1.98</f>
        <v>1803.030303030303</v>
      </c>
      <c r="AP17" s="17"/>
      <c r="AQ17" s="7">
        <f t="shared" si="33"/>
        <v>1803.030303030303</v>
      </c>
      <c r="AS17" s="15">
        <f t="shared" si="13"/>
        <v>0.55999193385763257</v>
      </c>
      <c r="AT17" s="15">
        <f t="shared" si="14"/>
        <v>0.57376642697743618</v>
      </c>
      <c r="AU17" s="15">
        <f t="shared" si="17"/>
        <v>0.6</v>
      </c>
      <c r="AV17" s="15">
        <f t="shared" si="18"/>
        <v>0.64277997839395029</v>
      </c>
    </row>
    <row r="18" spans="1:48" ht="14.4" x14ac:dyDescent="0.3">
      <c r="A18" s="8">
        <f t="shared" si="19"/>
        <v>46057</v>
      </c>
      <c r="B18" s="16">
        <f>INDEX('01_12_OMRI-2000'!$E$4:$E$393,MATCH($A18,'01_12_OMRI-2000'!$A$4:$A$393,0))</f>
        <v>25000</v>
      </c>
      <c r="C18" s="17"/>
      <c r="D18" s="1">
        <f t="shared" si="20"/>
        <v>25000</v>
      </c>
      <c r="E18" s="16">
        <f>INDEX('01_12_OMRI-2000'!$D$4:$D$393,MATCH($A18,'01_12_OMRI-2000'!$A$4:$A$393,0))</f>
        <v>1800</v>
      </c>
      <c r="F18" s="17"/>
      <c r="G18" s="1">
        <f t="shared" si="23"/>
        <v>1800</v>
      </c>
      <c r="H18" s="18">
        <f t="shared" si="15"/>
        <v>-6250</v>
      </c>
      <c r="I18" s="17"/>
      <c r="J18" s="1">
        <f t="shared" si="24"/>
        <v>-6250</v>
      </c>
      <c r="K18" s="19">
        <f>INDEX('01_20_OMRI -6250'!$B19:$B415,MATCH($A18,'01_20_OMRI -6250'!$A19:$A415,0))/1.98</f>
        <v>3306.060606060606</v>
      </c>
      <c r="L18" s="17"/>
      <c r="M18" s="1">
        <f t="shared" si="25"/>
        <v>3306.060606060606</v>
      </c>
      <c r="N18" s="20">
        <f>INDEX('01_20_OMRI -6250'!$C19:$C415,MATCH($A18,'01_20_OMRI -6250'!$A19:$A415,0))/1.98</f>
        <v>4207.575757575758</v>
      </c>
      <c r="O18" s="17"/>
      <c r="P18" s="7">
        <f t="shared" si="26"/>
        <v>4207.575757575758</v>
      </c>
      <c r="Q18" s="1">
        <v>-5000</v>
      </c>
      <c r="R18" s="17"/>
      <c r="S18" s="1">
        <f t="shared" si="21"/>
        <v>-5000</v>
      </c>
      <c r="T18" s="16">
        <f>INDEX('01_20_OMRI -5000'!$B19:$B408,MATCH($A18,'01_20_OMRI -5000'!$A19:$A408,0))/1.98</f>
        <v>2604.5454545454545</v>
      </c>
      <c r="U18" s="17"/>
      <c r="V18" s="1">
        <f t="shared" si="22"/>
        <v>2604.5454545454545</v>
      </c>
      <c r="W18" s="16">
        <f>INDEX('01_20_OMRI -5000'!$C19:$C408,MATCH($A18,'01_20_OMRI -5000'!$A19:$A408,0))/1.98</f>
        <v>3506.060606060606</v>
      </c>
      <c r="X18" s="17"/>
      <c r="Y18" s="7">
        <f t="shared" si="27"/>
        <v>3506.060606060606</v>
      </c>
      <c r="Z18" s="1">
        <v>-3500</v>
      </c>
      <c r="AA18" s="17"/>
      <c r="AB18" s="7">
        <f t="shared" si="28"/>
        <v>-3500</v>
      </c>
      <c r="AC18" s="21">
        <f>INDEX('01_12_OMRI -3500'!$B19:$B408,MATCH($A18,'01_12_OMRI -3500'!$A19:$A408,0))/1.98</f>
        <v>1803.030303030303</v>
      </c>
      <c r="AD18" s="17"/>
      <c r="AE18" s="1">
        <f t="shared" si="29"/>
        <v>1803.030303030303</v>
      </c>
      <c r="AF18" s="20">
        <f>INDEX('01_12_OMRI -3500'!$C19:$C408,MATCH($A18,'01_12_OMRI -3500'!$A19:$A408,0))/1.98</f>
        <v>2704.5454545454545</v>
      </c>
      <c r="AG18" s="17"/>
      <c r="AH18" s="7">
        <f t="shared" si="30"/>
        <v>2704.5454545454545</v>
      </c>
      <c r="AI18" s="11">
        <v>-2000</v>
      </c>
      <c r="AJ18" s="17"/>
      <c r="AK18" s="1">
        <f t="shared" si="31"/>
        <v>-2000</v>
      </c>
      <c r="AL18" s="21">
        <f>INDEX('01_12_OMRI-2000'!$B19:$B408,MATCH($A18,'01_12_OMRI-2000'!$A19:$A408,0))/1.98</f>
        <v>1002.0202020202021</v>
      </c>
      <c r="AM18" s="17"/>
      <c r="AN18" s="1">
        <f t="shared" si="32"/>
        <v>1002.0202020202021</v>
      </c>
      <c r="AO18" s="20">
        <f>INDEX('01_12_OMRI-2000'!$C19:$C408,MATCH($A18,'01_12_OMRI-2000'!$A19:$A408,0))/1.98</f>
        <v>1803.030303030303</v>
      </c>
      <c r="AP18" s="17"/>
      <c r="AQ18" s="7">
        <f t="shared" si="33"/>
        <v>1803.030303030303</v>
      </c>
      <c r="AS18" s="15">
        <f t="shared" si="13"/>
        <v>0.55999193385763257</v>
      </c>
      <c r="AT18" s="15">
        <f t="shared" si="14"/>
        <v>0.57376642697743618</v>
      </c>
      <c r="AU18" s="15">
        <f t="shared" si="17"/>
        <v>0.6</v>
      </c>
      <c r="AV18" s="15">
        <f t="shared" si="18"/>
        <v>0.64277997839395029</v>
      </c>
    </row>
    <row r="19" spans="1:48" ht="14.4" x14ac:dyDescent="0.3">
      <c r="A19" s="8">
        <f t="shared" si="19"/>
        <v>46058</v>
      </c>
      <c r="B19" s="16">
        <f>INDEX('01_12_OMRI-2000'!$E$4:$E$393,MATCH($A19,'01_12_OMRI-2000'!$A$4:$A$393,0))</f>
        <v>25000</v>
      </c>
      <c r="C19" s="17"/>
      <c r="D19" s="1">
        <f t="shared" si="20"/>
        <v>25000</v>
      </c>
      <c r="E19" s="16">
        <f>INDEX('01_12_OMRI-2000'!$D$4:$D$393,MATCH($A19,'01_12_OMRI-2000'!$A$4:$A$393,0))</f>
        <v>1800</v>
      </c>
      <c r="F19" s="17"/>
      <c r="G19" s="1">
        <f t="shared" si="23"/>
        <v>1800</v>
      </c>
      <c r="H19" s="18">
        <f t="shared" si="15"/>
        <v>-6250</v>
      </c>
      <c r="I19" s="17"/>
      <c r="J19" s="1">
        <f t="shared" si="24"/>
        <v>-6250</v>
      </c>
      <c r="K19" s="19">
        <f>INDEX('01_20_OMRI -6250'!$B20:$B416,MATCH($A19,'01_20_OMRI -6250'!$A20:$A416,0))/1.98</f>
        <v>3306.060606060606</v>
      </c>
      <c r="L19" s="17"/>
      <c r="M19" s="1">
        <f t="shared" si="25"/>
        <v>3306.060606060606</v>
      </c>
      <c r="N19" s="20">
        <f>INDEX('01_20_OMRI -6250'!$C20:$C416,MATCH($A19,'01_20_OMRI -6250'!$A20:$A416,0))/1.98</f>
        <v>4207.575757575758</v>
      </c>
      <c r="O19" s="17"/>
      <c r="P19" s="7">
        <f t="shared" si="26"/>
        <v>4207.575757575758</v>
      </c>
      <c r="Q19" s="1">
        <v>-5000</v>
      </c>
      <c r="R19" s="17"/>
      <c r="S19" s="1">
        <f t="shared" si="21"/>
        <v>-5000</v>
      </c>
      <c r="T19" s="16">
        <f>INDEX('01_20_OMRI -5000'!$B20:$B409,MATCH($A19,'01_20_OMRI -5000'!$A20:$A409,0))/1.98</f>
        <v>2604.5454545454545</v>
      </c>
      <c r="U19" s="17"/>
      <c r="V19" s="1">
        <f t="shared" si="22"/>
        <v>2604.5454545454545</v>
      </c>
      <c r="W19" s="16">
        <f>INDEX('01_20_OMRI -5000'!$C20:$C409,MATCH($A19,'01_20_OMRI -5000'!$A20:$A409,0))/1.98</f>
        <v>3506.060606060606</v>
      </c>
      <c r="X19" s="17"/>
      <c r="Y19" s="7">
        <f t="shared" si="27"/>
        <v>3506.060606060606</v>
      </c>
      <c r="Z19" s="1">
        <v>-3500</v>
      </c>
      <c r="AA19" s="17"/>
      <c r="AB19" s="7">
        <f t="shared" si="28"/>
        <v>-3500</v>
      </c>
      <c r="AC19" s="21">
        <f>INDEX('01_12_OMRI -3500'!$B20:$B409,MATCH($A19,'01_12_OMRI -3500'!$A20:$A409,0))/1.98</f>
        <v>1803.030303030303</v>
      </c>
      <c r="AD19" s="17"/>
      <c r="AE19" s="1">
        <f t="shared" si="29"/>
        <v>1803.030303030303</v>
      </c>
      <c r="AF19" s="20">
        <f>INDEX('01_12_OMRI -3500'!$C20:$C409,MATCH($A19,'01_12_OMRI -3500'!$A20:$A409,0))/1.98</f>
        <v>2704.5454545454545</v>
      </c>
      <c r="AG19" s="17"/>
      <c r="AH19" s="7">
        <f t="shared" si="30"/>
        <v>2704.5454545454545</v>
      </c>
      <c r="AI19" s="11">
        <v>-2000</v>
      </c>
      <c r="AJ19" s="17"/>
      <c r="AK19" s="1">
        <f t="shared" si="31"/>
        <v>-2000</v>
      </c>
      <c r="AL19" s="21">
        <f>INDEX('01_12_OMRI-2000'!$B20:$B409,MATCH($A19,'01_12_OMRI-2000'!$A20:$A409,0))/1.98</f>
        <v>1002.0202020202021</v>
      </c>
      <c r="AM19" s="17"/>
      <c r="AN19" s="1">
        <f t="shared" si="32"/>
        <v>1002.0202020202021</v>
      </c>
      <c r="AO19" s="20">
        <f>INDEX('01_12_OMRI-2000'!$C20:$C409,MATCH($A19,'01_12_OMRI-2000'!$A20:$A409,0))/1.98</f>
        <v>1803.030303030303</v>
      </c>
      <c r="AP19" s="17"/>
      <c r="AQ19" s="7">
        <f t="shared" si="33"/>
        <v>1803.030303030303</v>
      </c>
      <c r="AS19" s="15">
        <f t="shared" si="13"/>
        <v>0.55999193385763257</v>
      </c>
      <c r="AT19" s="15">
        <f t="shared" si="14"/>
        <v>0.57376642697743618</v>
      </c>
      <c r="AU19" s="15">
        <f t="shared" si="17"/>
        <v>0.6</v>
      </c>
      <c r="AV19" s="15">
        <f t="shared" si="18"/>
        <v>0.64277997839395029</v>
      </c>
    </row>
    <row r="20" spans="1:48" ht="14.4" x14ac:dyDescent="0.3">
      <c r="A20" s="8">
        <f t="shared" si="19"/>
        <v>46059</v>
      </c>
      <c r="B20" s="16">
        <f>INDEX('01_12_OMRI-2000'!$E$4:$E$393,MATCH($A20,'01_12_OMRI-2000'!$A$4:$A$393,0))</f>
        <v>25000</v>
      </c>
      <c r="C20" s="17"/>
      <c r="D20" s="1">
        <f t="shared" si="20"/>
        <v>25000</v>
      </c>
      <c r="E20" s="16">
        <f>INDEX('01_12_OMRI-2000'!$D$4:$D$393,MATCH($A20,'01_12_OMRI-2000'!$A$4:$A$393,0))</f>
        <v>1800</v>
      </c>
      <c r="F20" s="17"/>
      <c r="G20" s="1">
        <f t="shared" si="23"/>
        <v>1800</v>
      </c>
      <c r="H20" s="18">
        <f t="shared" si="15"/>
        <v>-6250</v>
      </c>
      <c r="I20" s="17"/>
      <c r="J20" s="1">
        <f t="shared" si="24"/>
        <v>-6250</v>
      </c>
      <c r="K20" s="19">
        <f>INDEX('01_20_OMRI -6250'!$B21:$B417,MATCH($A20,'01_20_OMRI -6250'!$A21:$A417,0))/1.98</f>
        <v>3306.060606060606</v>
      </c>
      <c r="L20" s="17"/>
      <c r="M20" s="1">
        <f t="shared" si="25"/>
        <v>3306.060606060606</v>
      </c>
      <c r="N20" s="20">
        <f>INDEX('01_20_OMRI -6250'!$C21:$C417,MATCH($A20,'01_20_OMRI -6250'!$A21:$A417,0))/1.98</f>
        <v>4207.575757575758</v>
      </c>
      <c r="O20" s="17"/>
      <c r="P20" s="7">
        <f t="shared" si="26"/>
        <v>4207.575757575758</v>
      </c>
      <c r="Q20" s="1">
        <v>-5000</v>
      </c>
      <c r="R20" s="17"/>
      <c r="S20" s="1">
        <f t="shared" si="21"/>
        <v>-5000</v>
      </c>
      <c r="T20" s="16">
        <f>INDEX('01_20_OMRI -5000'!$B21:$B410,MATCH($A20,'01_20_OMRI -5000'!$A21:$A410,0))/1.98</f>
        <v>2604.5454545454545</v>
      </c>
      <c r="U20" s="17"/>
      <c r="V20" s="1">
        <f t="shared" si="22"/>
        <v>2604.5454545454545</v>
      </c>
      <c r="W20" s="16">
        <f>INDEX('01_20_OMRI -5000'!$C21:$C410,MATCH($A20,'01_20_OMRI -5000'!$A21:$A410,0))/1.98</f>
        <v>3506.060606060606</v>
      </c>
      <c r="X20" s="17"/>
      <c r="Y20" s="7">
        <f t="shared" si="27"/>
        <v>3506.060606060606</v>
      </c>
      <c r="Z20" s="1">
        <v>-3500</v>
      </c>
      <c r="AA20" s="17"/>
      <c r="AB20" s="7">
        <f t="shared" si="28"/>
        <v>-3500</v>
      </c>
      <c r="AC20" s="21">
        <f>INDEX('01_12_OMRI -3500'!$B21:$B410,MATCH($A20,'01_12_OMRI -3500'!$A21:$A410,0))/1.98</f>
        <v>1803.030303030303</v>
      </c>
      <c r="AD20" s="17"/>
      <c r="AE20" s="1">
        <f t="shared" si="29"/>
        <v>1803.030303030303</v>
      </c>
      <c r="AF20" s="20">
        <f>INDEX('01_12_OMRI -3500'!$C21:$C410,MATCH($A20,'01_12_OMRI -3500'!$A21:$A410,0))/1.98</f>
        <v>2704.5454545454545</v>
      </c>
      <c r="AG20" s="17"/>
      <c r="AH20" s="7">
        <f t="shared" si="30"/>
        <v>2704.5454545454545</v>
      </c>
      <c r="AI20" s="11">
        <v>-2000</v>
      </c>
      <c r="AJ20" s="17"/>
      <c r="AK20" s="1">
        <f t="shared" si="31"/>
        <v>-2000</v>
      </c>
      <c r="AL20" s="21">
        <f>INDEX('01_12_OMRI-2000'!$B21:$B410,MATCH($A20,'01_12_OMRI-2000'!$A21:$A410,0))/1.98</f>
        <v>1002.0202020202021</v>
      </c>
      <c r="AM20" s="17"/>
      <c r="AN20" s="1">
        <f t="shared" si="32"/>
        <v>1002.0202020202021</v>
      </c>
      <c r="AO20" s="20">
        <f>INDEX('01_12_OMRI-2000'!$C21:$C410,MATCH($A20,'01_12_OMRI-2000'!$A21:$A410,0))/1.98</f>
        <v>1803.030303030303</v>
      </c>
      <c r="AP20" s="17"/>
      <c r="AQ20" s="7">
        <f t="shared" si="33"/>
        <v>1803.030303030303</v>
      </c>
      <c r="AS20" s="15">
        <f t="shared" si="13"/>
        <v>0.55999193385763257</v>
      </c>
      <c r="AT20" s="15">
        <f t="shared" si="14"/>
        <v>0.57376642697743618</v>
      </c>
      <c r="AU20" s="15">
        <f t="shared" si="17"/>
        <v>0.6</v>
      </c>
      <c r="AV20" s="15">
        <f t="shared" si="18"/>
        <v>0.64277997839395029</v>
      </c>
    </row>
    <row r="21" spans="1:48" ht="14.4" x14ac:dyDescent="0.3">
      <c r="A21" s="8">
        <f t="shared" si="19"/>
        <v>46060</v>
      </c>
      <c r="B21" s="16">
        <f>INDEX('01_12_OMRI-2000'!$E$4:$E$393,MATCH($A21,'01_12_OMRI-2000'!$A$4:$A$393,0))</f>
        <v>25000</v>
      </c>
      <c r="C21" s="17"/>
      <c r="D21" s="1">
        <f t="shared" si="20"/>
        <v>25000</v>
      </c>
      <c r="E21" s="16">
        <f>INDEX('01_12_OMRI-2000'!$D$4:$D$393,MATCH($A21,'01_12_OMRI-2000'!$A$4:$A$393,0))</f>
        <v>1800</v>
      </c>
      <c r="F21" s="17"/>
      <c r="G21" s="1">
        <f t="shared" si="23"/>
        <v>1800</v>
      </c>
      <c r="H21" s="18">
        <f t="shared" si="15"/>
        <v>-6250</v>
      </c>
      <c r="I21" s="17"/>
      <c r="J21" s="1">
        <f t="shared" si="24"/>
        <v>-6250</v>
      </c>
      <c r="K21" s="19">
        <f>INDEX('01_20_OMRI -6250'!$B22:$B418,MATCH($A21,'01_20_OMRI -6250'!$A22:$A418,0))/1.98</f>
        <v>3306.060606060606</v>
      </c>
      <c r="L21" s="17"/>
      <c r="M21" s="1">
        <f t="shared" si="25"/>
        <v>3306.060606060606</v>
      </c>
      <c r="N21" s="20">
        <f>INDEX('01_20_OMRI -6250'!$C22:$C418,MATCH($A21,'01_20_OMRI -6250'!$A22:$A418,0))/1.98</f>
        <v>4207.575757575758</v>
      </c>
      <c r="O21" s="17"/>
      <c r="P21" s="7">
        <f t="shared" si="26"/>
        <v>4207.575757575758</v>
      </c>
      <c r="Q21" s="1">
        <v>-5000</v>
      </c>
      <c r="R21" s="17"/>
      <c r="S21" s="1">
        <f t="shared" si="21"/>
        <v>-5000</v>
      </c>
      <c r="T21" s="16">
        <f>INDEX('01_20_OMRI -5000'!$B22:$B411,MATCH($A21,'01_20_OMRI -5000'!$A22:$A411,0))/1.98</f>
        <v>2604.5454545454545</v>
      </c>
      <c r="U21" s="17"/>
      <c r="V21" s="1">
        <f t="shared" si="22"/>
        <v>2604.5454545454545</v>
      </c>
      <c r="W21" s="16">
        <f>INDEX('01_20_OMRI -5000'!$C22:$C411,MATCH($A21,'01_20_OMRI -5000'!$A22:$A411,0))/1.98</f>
        <v>3506.060606060606</v>
      </c>
      <c r="X21" s="17"/>
      <c r="Y21" s="7">
        <f t="shared" si="27"/>
        <v>3506.060606060606</v>
      </c>
      <c r="Z21" s="1">
        <v>-3500</v>
      </c>
      <c r="AA21" s="17"/>
      <c r="AB21" s="7">
        <f t="shared" si="28"/>
        <v>-3500</v>
      </c>
      <c r="AC21" s="21">
        <f>INDEX('01_12_OMRI -3500'!$B22:$B411,MATCH($A21,'01_12_OMRI -3500'!$A22:$A411,0))/1.98</f>
        <v>1803.030303030303</v>
      </c>
      <c r="AD21" s="17"/>
      <c r="AE21" s="1">
        <f t="shared" si="29"/>
        <v>1803.030303030303</v>
      </c>
      <c r="AF21" s="20">
        <f>INDEX('01_12_OMRI -3500'!$C22:$C411,MATCH($A21,'01_12_OMRI -3500'!$A22:$A411,0))/1.98</f>
        <v>2704.5454545454545</v>
      </c>
      <c r="AG21" s="17"/>
      <c r="AH21" s="7">
        <f t="shared" si="30"/>
        <v>2704.5454545454545</v>
      </c>
      <c r="AI21" s="11">
        <v>-2000</v>
      </c>
      <c r="AJ21" s="17"/>
      <c r="AK21" s="1">
        <f t="shared" si="31"/>
        <v>-2000</v>
      </c>
      <c r="AL21" s="21">
        <f>INDEX('01_12_OMRI-2000'!$B22:$B411,MATCH($A21,'01_12_OMRI-2000'!$A22:$A411,0))/1.98</f>
        <v>1002.0202020202021</v>
      </c>
      <c r="AM21" s="17"/>
      <c r="AN21" s="1">
        <f t="shared" si="32"/>
        <v>1002.0202020202021</v>
      </c>
      <c r="AO21" s="20">
        <f>INDEX('01_12_OMRI-2000'!$C22:$C411,MATCH($A21,'01_12_OMRI-2000'!$A22:$A411,0))/1.98</f>
        <v>1803.030303030303</v>
      </c>
      <c r="AP21" s="17"/>
      <c r="AQ21" s="7">
        <f t="shared" si="33"/>
        <v>1803.030303030303</v>
      </c>
      <c r="AS21" s="15">
        <f t="shared" si="13"/>
        <v>0.55999193385763257</v>
      </c>
      <c r="AT21" s="15">
        <f t="shared" si="14"/>
        <v>0.57376642697743618</v>
      </c>
      <c r="AU21" s="15">
        <f t="shared" si="17"/>
        <v>0.6</v>
      </c>
      <c r="AV21" s="15">
        <f t="shared" si="18"/>
        <v>0.64277997839395029</v>
      </c>
    </row>
    <row r="22" spans="1:48" ht="14.4" x14ac:dyDescent="0.3">
      <c r="A22" s="8">
        <f t="shared" si="19"/>
        <v>46061</v>
      </c>
      <c r="B22" s="16">
        <f>INDEX('01_12_OMRI-2000'!$E$4:$E$393,MATCH($A22,'01_12_OMRI-2000'!$A$4:$A$393,0))</f>
        <v>25000</v>
      </c>
      <c r="C22" s="17"/>
      <c r="D22" s="1">
        <f t="shared" si="20"/>
        <v>25000</v>
      </c>
      <c r="E22" s="16">
        <f>INDEX('01_12_OMRI-2000'!$D$4:$D$393,MATCH($A22,'01_12_OMRI-2000'!$A$4:$A$393,0))</f>
        <v>1800</v>
      </c>
      <c r="F22" s="17"/>
      <c r="G22" s="1">
        <f t="shared" si="23"/>
        <v>1800</v>
      </c>
      <c r="H22" s="18">
        <f t="shared" si="15"/>
        <v>-6250</v>
      </c>
      <c r="I22" s="17"/>
      <c r="J22" s="1">
        <f t="shared" si="24"/>
        <v>-6250</v>
      </c>
      <c r="K22" s="19">
        <f>INDEX('01_20_OMRI -6250'!$B23:$B419,MATCH($A22,'01_20_OMRI -6250'!$A23:$A419,0))/1.98</f>
        <v>3306.060606060606</v>
      </c>
      <c r="L22" s="17"/>
      <c r="M22" s="1">
        <f t="shared" si="25"/>
        <v>3306.060606060606</v>
      </c>
      <c r="N22" s="20">
        <f>INDEX('01_20_OMRI -6250'!$C23:$C419,MATCH($A22,'01_20_OMRI -6250'!$A23:$A419,0))/1.98</f>
        <v>4207.575757575758</v>
      </c>
      <c r="O22" s="17"/>
      <c r="P22" s="7">
        <f t="shared" si="26"/>
        <v>4207.575757575758</v>
      </c>
      <c r="Q22" s="1">
        <v>-5000</v>
      </c>
      <c r="R22" s="17"/>
      <c r="S22" s="1">
        <f t="shared" si="21"/>
        <v>-5000</v>
      </c>
      <c r="T22" s="16">
        <f>INDEX('01_20_OMRI -5000'!$B23:$B412,MATCH($A22,'01_20_OMRI -5000'!$A23:$A412,0))/1.98</f>
        <v>2604.5454545454545</v>
      </c>
      <c r="U22" s="17"/>
      <c r="V22" s="1">
        <f t="shared" si="22"/>
        <v>2604.5454545454545</v>
      </c>
      <c r="W22" s="16">
        <f>INDEX('01_20_OMRI -5000'!$C23:$C412,MATCH($A22,'01_20_OMRI -5000'!$A23:$A412,0))/1.98</f>
        <v>3506.060606060606</v>
      </c>
      <c r="X22" s="17"/>
      <c r="Y22" s="7">
        <f t="shared" si="27"/>
        <v>3506.060606060606</v>
      </c>
      <c r="Z22" s="1">
        <v>-3500</v>
      </c>
      <c r="AA22" s="17"/>
      <c r="AB22" s="7">
        <f t="shared" si="28"/>
        <v>-3500</v>
      </c>
      <c r="AC22" s="21">
        <f>INDEX('01_12_OMRI -3500'!$B23:$B412,MATCH($A22,'01_12_OMRI -3500'!$A23:$A412,0))/1.98</f>
        <v>1803.030303030303</v>
      </c>
      <c r="AD22" s="17"/>
      <c r="AE22" s="1">
        <f t="shared" si="29"/>
        <v>1803.030303030303</v>
      </c>
      <c r="AF22" s="20">
        <f>INDEX('01_12_OMRI -3500'!$C23:$C412,MATCH($A22,'01_12_OMRI -3500'!$A23:$A412,0))/1.98</f>
        <v>2704.5454545454545</v>
      </c>
      <c r="AG22" s="17"/>
      <c r="AH22" s="7">
        <f t="shared" si="30"/>
        <v>2704.5454545454545</v>
      </c>
      <c r="AI22" s="11">
        <v>-2000</v>
      </c>
      <c r="AJ22" s="17"/>
      <c r="AK22" s="1">
        <f t="shared" si="31"/>
        <v>-2000</v>
      </c>
      <c r="AL22" s="21">
        <f>INDEX('01_12_OMRI-2000'!$B23:$B412,MATCH($A22,'01_12_OMRI-2000'!$A23:$A412,0))/1.98</f>
        <v>1002.0202020202021</v>
      </c>
      <c r="AM22" s="17"/>
      <c r="AN22" s="1">
        <f t="shared" si="32"/>
        <v>1002.0202020202021</v>
      </c>
      <c r="AO22" s="20">
        <f>INDEX('01_12_OMRI-2000'!$C23:$C412,MATCH($A22,'01_12_OMRI-2000'!$A23:$A412,0))/1.98</f>
        <v>1803.030303030303</v>
      </c>
      <c r="AP22" s="17"/>
      <c r="AQ22" s="7">
        <f t="shared" si="33"/>
        <v>1803.030303030303</v>
      </c>
      <c r="AS22" s="15">
        <f t="shared" si="13"/>
        <v>0.55999193385763257</v>
      </c>
      <c r="AT22" s="15">
        <f t="shared" si="14"/>
        <v>0.57376642697743618</v>
      </c>
      <c r="AU22" s="15">
        <f t="shared" si="17"/>
        <v>0.6</v>
      </c>
      <c r="AV22" s="15">
        <f t="shared" si="18"/>
        <v>0.64277997839395029</v>
      </c>
    </row>
    <row r="23" spans="1:48" ht="14.4" x14ac:dyDescent="0.3">
      <c r="A23" s="8">
        <f t="shared" si="19"/>
        <v>46062</v>
      </c>
      <c r="B23" s="16">
        <f>INDEX('01_12_OMRI-2000'!$E$4:$E$393,MATCH($A23,'01_12_OMRI-2000'!$A$4:$A$393,0))</f>
        <v>25000</v>
      </c>
      <c r="C23" s="17"/>
      <c r="D23" s="1">
        <f t="shared" si="20"/>
        <v>25000</v>
      </c>
      <c r="E23" s="16">
        <f>INDEX('01_12_OMRI-2000'!$D$4:$D$393,MATCH($A23,'01_12_OMRI-2000'!$A$4:$A$393,0))</f>
        <v>1800</v>
      </c>
      <c r="F23" s="17"/>
      <c r="G23" s="1">
        <f t="shared" si="23"/>
        <v>1800</v>
      </c>
      <c r="H23" s="18">
        <f t="shared" si="15"/>
        <v>-6250</v>
      </c>
      <c r="I23" s="17"/>
      <c r="J23" s="1">
        <f t="shared" si="24"/>
        <v>-6250</v>
      </c>
      <c r="K23" s="19">
        <f>INDEX('01_20_OMRI -6250'!$B24:$B420,MATCH($A23,'01_20_OMRI -6250'!$A24:$A420,0))/1.98</f>
        <v>3306.060606060606</v>
      </c>
      <c r="L23" s="17"/>
      <c r="M23" s="1">
        <f t="shared" si="25"/>
        <v>3306.060606060606</v>
      </c>
      <c r="N23" s="20">
        <f>INDEX('01_20_OMRI -6250'!$C24:$C420,MATCH($A23,'01_20_OMRI -6250'!$A24:$A420,0))/1.98</f>
        <v>4207.575757575758</v>
      </c>
      <c r="O23" s="17"/>
      <c r="P23" s="7">
        <f t="shared" si="26"/>
        <v>4207.575757575758</v>
      </c>
      <c r="Q23" s="1">
        <v>-5000</v>
      </c>
      <c r="R23" s="17"/>
      <c r="S23" s="1">
        <f t="shared" si="21"/>
        <v>-5000</v>
      </c>
      <c r="T23" s="16">
        <f>INDEX('01_20_OMRI -5000'!$B24:$B413,MATCH($A23,'01_20_OMRI -5000'!$A24:$A413,0))/1.98</f>
        <v>2604.5454545454545</v>
      </c>
      <c r="U23" s="17"/>
      <c r="V23" s="1">
        <f t="shared" si="22"/>
        <v>2604.5454545454545</v>
      </c>
      <c r="W23" s="16">
        <f>INDEX('01_20_OMRI -5000'!$C24:$C413,MATCH($A23,'01_20_OMRI -5000'!$A24:$A413,0))/1.98</f>
        <v>3506.060606060606</v>
      </c>
      <c r="X23" s="17"/>
      <c r="Y23" s="7">
        <f t="shared" si="27"/>
        <v>3506.060606060606</v>
      </c>
      <c r="Z23" s="1">
        <v>-3500</v>
      </c>
      <c r="AA23" s="17"/>
      <c r="AB23" s="7">
        <f t="shared" si="28"/>
        <v>-3500</v>
      </c>
      <c r="AC23" s="21">
        <f>INDEX('01_12_OMRI -3500'!$B24:$B413,MATCH($A23,'01_12_OMRI -3500'!$A24:$A413,0))/1.98</f>
        <v>1803.030303030303</v>
      </c>
      <c r="AD23" s="17"/>
      <c r="AE23" s="1">
        <f t="shared" si="29"/>
        <v>1803.030303030303</v>
      </c>
      <c r="AF23" s="20">
        <f>INDEX('01_12_OMRI -3500'!$C24:$C413,MATCH($A23,'01_12_OMRI -3500'!$A24:$A413,0))/1.98</f>
        <v>2704.5454545454545</v>
      </c>
      <c r="AG23" s="17"/>
      <c r="AH23" s="7">
        <f t="shared" si="30"/>
        <v>2704.5454545454545</v>
      </c>
      <c r="AI23" s="11">
        <v>-2000</v>
      </c>
      <c r="AJ23" s="17"/>
      <c r="AK23" s="1">
        <f t="shared" si="31"/>
        <v>-2000</v>
      </c>
      <c r="AL23" s="21">
        <f>INDEX('01_12_OMRI-2000'!$B24:$B413,MATCH($A23,'01_12_OMRI-2000'!$A24:$A413,0))/1.98</f>
        <v>1002.0202020202021</v>
      </c>
      <c r="AM23" s="17"/>
      <c r="AN23" s="1">
        <f t="shared" si="32"/>
        <v>1002.0202020202021</v>
      </c>
      <c r="AO23" s="20">
        <f>INDEX('01_12_OMRI-2000'!$C24:$C413,MATCH($A23,'01_12_OMRI-2000'!$A24:$A413,0))/1.98</f>
        <v>1803.030303030303</v>
      </c>
      <c r="AP23" s="17"/>
      <c r="AQ23" s="7">
        <f t="shared" si="33"/>
        <v>1803.030303030303</v>
      </c>
      <c r="AS23" s="15">
        <f t="shared" si="13"/>
        <v>0.55999193385763257</v>
      </c>
      <c r="AT23" s="15">
        <f t="shared" si="14"/>
        <v>0.57376642697743618</v>
      </c>
      <c r="AU23" s="15">
        <f t="shared" si="17"/>
        <v>0.6</v>
      </c>
      <c r="AV23" s="15">
        <f t="shared" si="18"/>
        <v>0.64277997839395029</v>
      </c>
    </row>
    <row r="24" spans="1:48" ht="15" thickBot="1" x14ac:dyDescent="0.35">
      <c r="A24" s="8">
        <f t="shared" si="19"/>
        <v>46063</v>
      </c>
      <c r="B24" s="16">
        <f>INDEX('01_12_OMRI-2000'!$E$4:$E$393,MATCH($A24,'01_12_OMRI-2000'!$A$4:$A$393,0))</f>
        <v>25000</v>
      </c>
      <c r="C24" s="17"/>
      <c r="D24" s="1">
        <f t="shared" si="20"/>
        <v>25000</v>
      </c>
      <c r="E24" s="16">
        <f>INDEX('01_12_OMRI-2000'!$D$4:$D$393,MATCH($A24,'01_12_OMRI-2000'!$A$4:$A$393,0))</f>
        <v>1800</v>
      </c>
      <c r="F24" s="17"/>
      <c r="G24" s="1">
        <f t="shared" si="23"/>
        <v>1800</v>
      </c>
      <c r="H24" s="18">
        <f t="shared" si="15"/>
        <v>-6250</v>
      </c>
      <c r="I24" s="22"/>
      <c r="J24" s="23">
        <f t="shared" si="24"/>
        <v>-6250</v>
      </c>
      <c r="K24" s="19">
        <f>INDEX('01_20_OMRI -6250'!$B25:$B421,MATCH($A24,'01_20_OMRI -6250'!$A25:$A421,0))/1.98</f>
        <v>3306.060606060606</v>
      </c>
      <c r="L24" s="22"/>
      <c r="M24" s="23">
        <f t="shared" si="25"/>
        <v>3306.060606060606</v>
      </c>
      <c r="N24" s="20">
        <f>INDEX('01_20_OMRI -6250'!$C25:$C421,MATCH($A24,'01_20_OMRI -6250'!$A25:$A421,0))/1.98</f>
        <v>4207.575757575758</v>
      </c>
      <c r="O24" s="22"/>
      <c r="P24" s="24">
        <f t="shared" si="26"/>
        <v>4207.575757575758</v>
      </c>
      <c r="Q24" s="1">
        <v>-5000</v>
      </c>
      <c r="R24" s="22"/>
      <c r="S24" s="23">
        <f t="shared" si="21"/>
        <v>-5000</v>
      </c>
      <c r="T24" s="25">
        <f>INDEX('01_20_OMRI -5000'!$B25:$B414,MATCH($A24,'01_20_OMRI -5000'!$A25:$A414,0))/1.98</f>
        <v>2604.5454545454545</v>
      </c>
      <c r="U24" s="22"/>
      <c r="V24" s="23">
        <f t="shared" si="22"/>
        <v>2604.5454545454545</v>
      </c>
      <c r="W24" s="25">
        <f>INDEX('01_20_OMRI -5000'!$C25:$C414,MATCH($A24,'01_20_OMRI -5000'!$A25:$A414,0))/1.98</f>
        <v>3506.060606060606</v>
      </c>
      <c r="X24" s="22"/>
      <c r="Y24" s="24">
        <f t="shared" si="27"/>
        <v>3506.060606060606</v>
      </c>
      <c r="Z24" s="1">
        <v>-3500</v>
      </c>
      <c r="AA24" s="22"/>
      <c r="AB24" s="24">
        <f t="shared" si="28"/>
        <v>-3500</v>
      </c>
      <c r="AC24" s="26">
        <f>INDEX('01_12_OMRI -3500'!$B25:$B414,MATCH($A24,'01_12_OMRI -3500'!$A25:$A414,0))/1.98</f>
        <v>1803.030303030303</v>
      </c>
      <c r="AD24" s="22"/>
      <c r="AE24" s="23">
        <f t="shared" si="29"/>
        <v>1803.030303030303</v>
      </c>
      <c r="AF24" s="20">
        <f>INDEX('01_12_OMRI -3500'!$C25:$C414,MATCH($A24,'01_12_OMRI -3500'!$A25:$A414,0))/1.98</f>
        <v>2704.5454545454545</v>
      </c>
      <c r="AG24" s="22"/>
      <c r="AH24" s="24">
        <f t="shared" si="30"/>
        <v>2704.5454545454545</v>
      </c>
      <c r="AI24" s="11">
        <v>-2000</v>
      </c>
      <c r="AJ24" s="22"/>
      <c r="AK24" s="23">
        <f t="shared" si="31"/>
        <v>-2000</v>
      </c>
      <c r="AL24" s="26">
        <f>INDEX('01_12_OMRI-2000'!$B25:$B414,MATCH($A24,'01_12_OMRI-2000'!$A25:$A414,0))/1.98</f>
        <v>1002.0202020202021</v>
      </c>
      <c r="AM24" s="22"/>
      <c r="AN24" s="23">
        <f t="shared" si="32"/>
        <v>1002.0202020202021</v>
      </c>
      <c r="AO24" s="27">
        <f>INDEX('01_12_OMRI-2000'!$C25:$C414,MATCH($A24,'01_12_OMRI-2000'!$A25:$A414,0))/1.98</f>
        <v>1803.030303030303</v>
      </c>
      <c r="AP24" s="22"/>
      <c r="AQ24" s="24">
        <f t="shared" si="33"/>
        <v>1803.030303030303</v>
      </c>
      <c r="AS24" s="15">
        <f t="shared" si="13"/>
        <v>0.55999193385763257</v>
      </c>
      <c r="AT24" s="15">
        <f t="shared" si="14"/>
        <v>0.57376642697743618</v>
      </c>
      <c r="AU24" s="15">
        <f t="shared" si="17"/>
        <v>0.6</v>
      </c>
      <c r="AV24" s="15">
        <f t="shared" si="18"/>
        <v>0.64277997839395029</v>
      </c>
    </row>
    <row r="25" spans="1:48" ht="14.4" x14ac:dyDescent="0.3">
      <c r="K25" s="1">
        <f>AVERAGE(K3:K24)</f>
        <v>3424.3801652892575</v>
      </c>
      <c r="N25" s="1">
        <f>AVERAGE(N3:N24)</f>
        <v>4143.8016528925637</v>
      </c>
      <c r="T25" s="1">
        <f>AVERAGE(T3:T24)</f>
        <v>2727.4793388429757</v>
      </c>
      <c r="W25" s="1">
        <f>AVERAGE(W3:W24)</f>
        <v>3506.0606060606074</v>
      </c>
      <c r="AC25" s="1">
        <f>AVERAGE(AC3:AC24)</f>
        <v>1912.3507805325992</v>
      </c>
      <c r="AF25" s="1">
        <f>AVERAGE(AF3:AF24)</f>
        <v>2777.4104683195601</v>
      </c>
      <c r="AL25" s="1">
        <f>AVERAGE(AL3:AL24)</f>
        <v>1134.0220385674927</v>
      </c>
      <c r="AO25" s="1">
        <f>AVERAGE(AO3:AO24)</f>
        <v>1957.8512396694221</v>
      </c>
      <c r="AS25" s="15"/>
    </row>
    <row r="27" spans="1:48" x14ac:dyDescent="0.25">
      <c r="E27" s="2" t="s">
        <v>8</v>
      </c>
    </row>
    <row r="28" spans="1:48" ht="12.6" customHeight="1" x14ac:dyDescent="0.25">
      <c r="S28" s="60"/>
      <c r="T28" s="60"/>
      <c r="U28" s="60"/>
      <c r="V28" s="60"/>
      <c r="W28" s="60"/>
      <c r="X28" s="60"/>
      <c r="Y28" s="60"/>
      <c r="Z28" s="60"/>
    </row>
    <row r="29" spans="1:48" x14ac:dyDescent="0.25">
      <c r="S29" s="41"/>
      <c r="T29" s="41"/>
      <c r="U29" s="41"/>
      <c r="V29" s="41"/>
      <c r="W29" s="41"/>
      <c r="X29" s="41"/>
    </row>
    <row r="30" spans="1:48" x14ac:dyDescent="0.25">
      <c r="S30" s="42"/>
      <c r="T30" s="43"/>
      <c r="U30" s="42"/>
      <c r="V30" s="43"/>
      <c r="W30" s="43"/>
      <c r="X30" s="43"/>
    </row>
    <row r="31" spans="1:48" ht="14.4" x14ac:dyDescent="0.3">
      <c r="S31" s="44"/>
      <c r="T31" s="44"/>
      <c r="U31" s="44"/>
      <c r="V31" s="44"/>
      <c r="W31" s="44"/>
      <c r="X31" s="44"/>
    </row>
    <row r="33" spans="18:30" ht="13.8" thickBot="1" x14ac:dyDescent="0.3">
      <c r="Z33" s="4" t="s">
        <v>42</v>
      </c>
    </row>
    <row r="34" spans="18:30" ht="13.8" thickBot="1" x14ac:dyDescent="0.3">
      <c r="S34" s="28"/>
      <c r="T34" s="48" t="s">
        <v>9</v>
      </c>
      <c r="U34" s="49"/>
      <c r="V34" s="48" t="s">
        <v>10</v>
      </c>
      <c r="W34" s="49"/>
      <c r="X34" s="49"/>
      <c r="Z34" s="41"/>
      <c r="AA34" s="41"/>
      <c r="AB34" s="45" t="s">
        <v>9</v>
      </c>
      <c r="AC34" s="1" t="s">
        <v>41</v>
      </c>
      <c r="AD34" s="46" t="s">
        <v>10</v>
      </c>
    </row>
    <row r="35" spans="18:30" x14ac:dyDescent="0.25">
      <c r="R35" s="1" t="s">
        <v>16</v>
      </c>
      <c r="S35" s="28" t="str">
        <f>_xlfn.CONCAT(R35," (",TEXT(A3,"mm/dd/yyyy")," - ",TEXT(A9,"mm/dd/yyyy"),")")</f>
        <v>Week 1 (01/20/2026 - 01/26/2026)</v>
      </c>
      <c r="T35" s="50">
        <f>AVERAGE(B3:B9)</f>
        <v>35597.714285714283</v>
      </c>
      <c r="U35" s="51" t="str">
        <f>IF(T35&lt;=$AB$35,$AC$35,IF(T35&gt;=$AB$37,$AC$37,$AC$36))</f>
        <v>hi</v>
      </c>
      <c r="V35" s="50">
        <f>AVERAGE(E3:E9)</f>
        <v>2417.8571428571427</v>
      </c>
      <c r="W35" s="51" t="str">
        <f>IF(V35&lt;=$AD$35,$AC$35,IF(V35&gt;=$AD$37,$AC$37,$AC$36))</f>
        <v>med</v>
      </c>
      <c r="X35" s="49" t="str">
        <f>_xlfn.CONCAT(U35,W35)</f>
        <v>himed</v>
      </c>
      <c r="Z35" s="43"/>
      <c r="AA35" s="43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8" t="str">
        <f>_xlfn.CONCAT(R36," (",TEXT(A10,"mm/dd/yyyy")," - ",TEXT(A16,"mm/dd/yyyy"),")")</f>
        <v>Week 2 (01/27/2026 - 02/02/2026)</v>
      </c>
      <c r="T36" s="50">
        <f>AVERAGE(B10:B16)</f>
        <v>30393.857142857141</v>
      </c>
      <c r="U36" s="51" t="str">
        <f>IF(T36&lt;=$AB$35,$AC$35,IF(T36&gt;=$AB$37,$AC$37,$AC$36))</f>
        <v>hi</v>
      </c>
      <c r="V36" s="50">
        <f>AVERAGE(E10:E16)</f>
        <v>1942.8571428571429</v>
      </c>
      <c r="W36" s="51" t="str">
        <f>IF(V36&lt;=$AD$35,$AC$35,IF(V36&gt;=$AD$37,$AC$37,$AC$36))</f>
        <v>lo</v>
      </c>
      <c r="X36" s="49" t="str">
        <f>_xlfn.CONCAT(U36,W36)</f>
        <v>hilo</v>
      </c>
      <c r="Z36" s="44"/>
      <c r="AA36" s="44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8" t="str">
        <f>_xlfn.CONCAT(R37," (",TEXT(A17,"mm/dd/yyyy")," - ",TEXT(A23,"mm/dd/yyyy"),")")</f>
        <v>Week 3 (02/03/2026 - 02/09/2026)</v>
      </c>
      <c r="T37" s="50">
        <f>AVERAGE(B18:B24)</f>
        <v>25000</v>
      </c>
      <c r="U37" s="51" t="str">
        <f>IF(T37&lt;=$AB$35,$AC$35,IF(T37&gt;=$AB$37,$AC$37,$AC$36))</f>
        <v>hi</v>
      </c>
      <c r="V37" s="50">
        <f>AVERAGE(E18:E24)</f>
        <v>1800</v>
      </c>
      <c r="W37" s="51" t="str">
        <f>IF(V37&lt;=$AD$35,$AC$35,IF(V37&gt;=$AD$37,$AC$37,$AC$36))</f>
        <v>lo</v>
      </c>
      <c r="X37" s="49" t="str">
        <f>_xlfn.CONCAT(U37,W37)</f>
        <v>hilo</v>
      </c>
      <c r="AA37" s="47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9"/>
      <c r="T41" s="30" t="s">
        <v>13</v>
      </c>
      <c r="U41" s="31" t="s">
        <v>58</v>
      </c>
      <c r="V41" s="32" t="s">
        <v>59</v>
      </c>
      <c r="W41" s="31" t="s">
        <v>60</v>
      </c>
      <c r="X41" s="31" t="s">
        <v>14</v>
      </c>
      <c r="Y41" s="31" t="s">
        <v>15</v>
      </c>
      <c r="Z41" s="33"/>
    </row>
    <row r="42" spans="18:30" ht="13.8" thickBot="1" x14ac:dyDescent="0.3">
      <c r="S42" s="61" t="s">
        <v>16</v>
      </c>
      <c r="T42" s="34">
        <v>-6250</v>
      </c>
      <c r="U42" s="35">
        <f>AVERAGE(N3:N9)</f>
        <v>4007.1428571428582</v>
      </c>
      <c r="V42" s="35">
        <f>AVERAGE(K3:K9)</f>
        <v>3592.207792207792</v>
      </c>
      <c r="W42" s="35">
        <f>V42+U42</f>
        <v>7599.3506493506502</v>
      </c>
      <c r="X42" s="36">
        <f>U42/(U42+V42)</f>
        <v>0.52730069213022313</v>
      </c>
      <c r="Y42" s="37">
        <f>V42/(V42+U42)</f>
        <v>0.47269930786977687</v>
      </c>
      <c r="Z42" s="38"/>
    </row>
    <row r="43" spans="18:30" ht="13.8" thickBot="1" x14ac:dyDescent="0.3">
      <c r="S43" s="62"/>
      <c r="T43" s="34">
        <v>-5000</v>
      </c>
      <c r="U43" s="35">
        <f>AVERAGE(W3:W9)</f>
        <v>3506.0606060606069</v>
      </c>
      <c r="V43" s="35">
        <f>AVERAGE(T3:T9)</f>
        <v>2905.0505050505049</v>
      </c>
      <c r="W43" s="35">
        <f t="shared" ref="W43:W53" si="34">V43+U43</f>
        <v>6411.1111111111113</v>
      </c>
      <c r="X43" s="36">
        <f t="shared" ref="X43:X53" si="35">U43/(U43+V43)</f>
        <v>0.54687253820702708</v>
      </c>
      <c r="Y43" s="37">
        <f t="shared" ref="Y43:Y53" si="36">V43/(V43+U43)</f>
        <v>0.45312746179297303</v>
      </c>
      <c r="Z43" s="38"/>
    </row>
    <row r="44" spans="18:30" ht="13.8" thickBot="1" x14ac:dyDescent="0.3">
      <c r="S44" s="62"/>
      <c r="T44" s="34">
        <v>-3250</v>
      </c>
      <c r="U44" s="35">
        <f>AVERAGE(AF3:AF9)</f>
        <v>2933.5497835497836</v>
      </c>
      <c r="V44" s="35">
        <f>AVERAGE(AC3:AC9)</f>
        <v>2089.2496392496391</v>
      </c>
      <c r="W44" s="35">
        <f t="shared" si="34"/>
        <v>5022.7994227994222</v>
      </c>
      <c r="X44" s="36">
        <f t="shared" si="35"/>
        <v>0.5840467708572743</v>
      </c>
      <c r="Y44" s="37">
        <f t="shared" si="36"/>
        <v>0.41595322914272581</v>
      </c>
      <c r="Z44" s="38"/>
    </row>
    <row r="45" spans="18:30" ht="13.8" thickBot="1" x14ac:dyDescent="0.3">
      <c r="S45" s="63"/>
      <c r="T45" s="34">
        <v>-2000</v>
      </c>
      <c r="U45" s="35">
        <f>AVERAGE(AO3:AO9)</f>
        <v>2289.61038961039</v>
      </c>
      <c r="V45" s="35">
        <f>AVERAGE(AL3:AL9)</f>
        <v>1302.5252525252524</v>
      </c>
      <c r="W45" s="35">
        <f t="shared" si="34"/>
        <v>3592.1356421356422</v>
      </c>
      <c r="X45" s="36">
        <f t="shared" si="35"/>
        <v>0.63739530399501887</v>
      </c>
      <c r="Y45" s="37">
        <f t="shared" si="36"/>
        <v>0.36260469600498119</v>
      </c>
      <c r="Z45" s="38"/>
    </row>
    <row r="46" spans="18:30" ht="13.8" thickBot="1" x14ac:dyDescent="0.3">
      <c r="S46" s="61" t="s">
        <v>17</v>
      </c>
      <c r="T46" s="34">
        <v>-6250</v>
      </c>
      <c r="U46" s="35">
        <f>AVERAGE(N10:N16)</f>
        <v>4207.5757575757589</v>
      </c>
      <c r="V46" s="35">
        <f>AVERAGE(K10:K16)</f>
        <v>3391.7748917748927</v>
      </c>
      <c r="W46" s="35">
        <f t="shared" si="34"/>
        <v>7599.350649350652</v>
      </c>
      <c r="X46" s="36">
        <f t="shared" si="35"/>
        <v>0.55367569569056363</v>
      </c>
      <c r="Y46" s="37">
        <f t="shared" si="36"/>
        <v>0.44632430430943631</v>
      </c>
      <c r="Z46" s="38"/>
    </row>
    <row r="47" spans="18:30" ht="13.8" thickBot="1" x14ac:dyDescent="0.3">
      <c r="S47" s="62"/>
      <c r="T47" s="34">
        <v>-5000</v>
      </c>
      <c r="U47" s="35">
        <f>AVERAGE(W10:W16)</f>
        <v>3506.0606060606069</v>
      </c>
      <c r="V47" s="35">
        <f>AVERAGE(T10:T16)</f>
        <v>2690.4040404040402</v>
      </c>
      <c r="W47" s="35">
        <f t="shared" si="34"/>
        <v>6196.4646464646466</v>
      </c>
      <c r="X47" s="36">
        <f t="shared" si="35"/>
        <v>0.5658162849457985</v>
      </c>
      <c r="Y47" s="37">
        <f t="shared" si="36"/>
        <v>0.43418371505420161</v>
      </c>
      <c r="Z47" s="38"/>
    </row>
    <row r="48" spans="18:30" ht="13.8" thickBot="1" x14ac:dyDescent="0.3">
      <c r="S48" s="62"/>
      <c r="T48" s="34">
        <v>-3250</v>
      </c>
      <c r="U48" s="35">
        <f>AVERAGE(AF10:AF16)</f>
        <v>2704.5454545454545</v>
      </c>
      <c r="V48" s="35">
        <f>AVERAGE(AC10:AC16)</f>
        <v>1860.3896103896109</v>
      </c>
      <c r="W48" s="35">
        <f t="shared" si="34"/>
        <v>4564.9350649350654</v>
      </c>
      <c r="X48" s="36">
        <f t="shared" si="35"/>
        <v>0.59246088193456603</v>
      </c>
      <c r="Y48" s="37">
        <f t="shared" si="36"/>
        <v>0.40753911806543391</v>
      </c>
      <c r="Z48" s="38"/>
    </row>
    <row r="49" spans="19:26" ht="13.8" thickBot="1" x14ac:dyDescent="0.3">
      <c r="S49" s="63"/>
      <c r="T49" s="34">
        <v>-2000</v>
      </c>
      <c r="U49" s="35">
        <f>AVERAGE(AO10:AO16)</f>
        <v>1803.0303030303035</v>
      </c>
      <c r="V49" s="35">
        <f>AVERAGE(AL10:AL16)</f>
        <v>1116.3780663780665</v>
      </c>
      <c r="W49" s="35">
        <f t="shared" si="34"/>
        <v>2919.4083694083702</v>
      </c>
      <c r="X49" s="36">
        <f t="shared" si="35"/>
        <v>0.61760126535353288</v>
      </c>
      <c r="Y49" s="37">
        <f t="shared" si="36"/>
        <v>0.38239873464646706</v>
      </c>
      <c r="Z49" s="38"/>
    </row>
    <row r="50" spans="19:26" ht="13.8" thickBot="1" x14ac:dyDescent="0.3">
      <c r="S50" s="61" t="s">
        <v>18</v>
      </c>
      <c r="T50" s="34">
        <v>-6250</v>
      </c>
      <c r="U50" s="35">
        <f>AVERAGE(N18:N24)</f>
        <v>4207.5757575757589</v>
      </c>
      <c r="V50" s="35">
        <f>AVERAGE(K18:K24)</f>
        <v>3306.0606060606069</v>
      </c>
      <c r="W50" s="35">
        <f t="shared" si="34"/>
        <v>7513.6363636363658</v>
      </c>
      <c r="X50" s="36">
        <f t="shared" si="35"/>
        <v>0.55999193385763257</v>
      </c>
      <c r="Y50" s="37">
        <f t="shared" si="36"/>
        <v>0.44000806614236743</v>
      </c>
      <c r="Z50" s="38"/>
    </row>
    <row r="51" spans="19:26" ht="13.8" thickBot="1" x14ac:dyDescent="0.3">
      <c r="S51" s="62"/>
      <c r="T51" s="34">
        <v>-5000</v>
      </c>
      <c r="U51" s="35">
        <f>AVERAGE(W18:W24)</f>
        <v>3506.0606060606069</v>
      </c>
      <c r="V51" s="35">
        <f>AVERAGE(T18:T24)</f>
        <v>2604.5454545454545</v>
      </c>
      <c r="W51" s="35">
        <f t="shared" si="34"/>
        <v>6110.6060606060619</v>
      </c>
      <c r="X51" s="36">
        <f t="shared" si="35"/>
        <v>0.57376642697743618</v>
      </c>
      <c r="Y51" s="37">
        <f t="shared" si="36"/>
        <v>0.42623357302256376</v>
      </c>
      <c r="Z51" s="38"/>
    </row>
    <row r="52" spans="19:26" ht="13.8" thickBot="1" x14ac:dyDescent="0.3">
      <c r="S52" s="62"/>
      <c r="T52" s="34">
        <v>-3250</v>
      </c>
      <c r="U52" s="35">
        <f>AVERAGE(AF18:AF24)</f>
        <v>2704.5454545454545</v>
      </c>
      <c r="V52" s="35">
        <f>AVERAGE(AC18:AC24)</f>
        <v>1803.0303030303035</v>
      </c>
      <c r="W52" s="35">
        <f t="shared" si="34"/>
        <v>4507.575757575758</v>
      </c>
      <c r="X52" s="36">
        <f t="shared" si="35"/>
        <v>0.6</v>
      </c>
      <c r="Y52" s="37">
        <f t="shared" si="36"/>
        <v>0.40000000000000008</v>
      </c>
      <c r="Z52" s="38"/>
    </row>
    <row r="53" spans="19:26" ht="13.8" thickBot="1" x14ac:dyDescent="0.3">
      <c r="S53" s="63"/>
      <c r="T53" s="34">
        <v>-2000</v>
      </c>
      <c r="U53" s="35">
        <f>AVERAGE(AO18:AO24)</f>
        <v>1803.0303030303035</v>
      </c>
      <c r="V53" s="35">
        <f>AVERAGE(AL18:AL24)</f>
        <v>1002.0202020202022</v>
      </c>
      <c r="W53" s="35">
        <f t="shared" si="34"/>
        <v>2805.0505050505058</v>
      </c>
      <c r="X53" s="36">
        <f t="shared" si="35"/>
        <v>0.64277997839395029</v>
      </c>
      <c r="Y53" s="37">
        <f t="shared" si="36"/>
        <v>0.35722002160604965</v>
      </c>
      <c r="Z53" s="38"/>
    </row>
    <row r="54" spans="19:26" x14ac:dyDescent="0.25">
      <c r="S54" s="39"/>
    </row>
    <row r="55" spans="19:26" x14ac:dyDescent="0.25">
      <c r="S55" s="39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6"/>
  <sheetViews>
    <sheetView topLeftCell="A31" zoomScale="120" zoomScaleNormal="120" workbookViewId="0">
      <selection activeCell="F63" sqref="F63"/>
    </sheetView>
  </sheetViews>
  <sheetFormatPr defaultRowHeight="14.4" x14ac:dyDescent="0.3"/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36</v>
      </c>
    </row>
    <row r="5" spans="1:13" x14ac:dyDescent="0.3">
      <c r="A5" s="40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36</v>
      </c>
    </row>
    <row r="6" spans="1:13" x14ac:dyDescent="0.3">
      <c r="A6" s="40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36</v>
      </c>
    </row>
    <row r="7" spans="1:13" x14ac:dyDescent="0.3">
      <c r="A7" s="40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36</v>
      </c>
    </row>
    <row r="8" spans="1:13" x14ac:dyDescent="0.3">
      <c r="A8" s="40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36</v>
      </c>
    </row>
    <row r="9" spans="1:13" x14ac:dyDescent="0.3">
      <c r="A9" s="40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36</v>
      </c>
    </row>
    <row r="10" spans="1:13" x14ac:dyDescent="0.3">
      <c r="A10" s="40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36</v>
      </c>
    </row>
    <row r="11" spans="1:13" x14ac:dyDescent="0.3">
      <c r="A11" s="40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36</v>
      </c>
    </row>
    <row r="12" spans="1:13" x14ac:dyDescent="0.3">
      <c r="A12" s="40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36</v>
      </c>
    </row>
    <row r="13" spans="1:13" x14ac:dyDescent="0.3">
      <c r="A13" s="40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36</v>
      </c>
    </row>
    <row r="14" spans="1:13" x14ac:dyDescent="0.3">
      <c r="A14" s="40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36</v>
      </c>
    </row>
    <row r="15" spans="1:13" x14ac:dyDescent="0.3">
      <c r="A15" s="40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36</v>
      </c>
    </row>
    <row r="16" spans="1:13" x14ac:dyDescent="0.3">
      <c r="A16" s="40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36</v>
      </c>
    </row>
    <row r="17" spans="1:11" x14ac:dyDescent="0.3">
      <c r="A17" s="40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36</v>
      </c>
    </row>
    <row r="18" spans="1:11" x14ac:dyDescent="0.3">
      <c r="A18" s="40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36</v>
      </c>
    </row>
    <row r="19" spans="1:11" x14ac:dyDescent="0.3">
      <c r="A19" s="40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36</v>
      </c>
    </row>
    <row r="20" spans="1:11" x14ac:dyDescent="0.3">
      <c r="A20" s="40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36</v>
      </c>
    </row>
    <row r="21" spans="1:11" x14ac:dyDescent="0.3">
      <c r="A21" s="40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36</v>
      </c>
    </row>
    <row r="22" spans="1:11" x14ac:dyDescent="0.3">
      <c r="A22" s="40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36</v>
      </c>
    </row>
    <row r="23" spans="1:11" x14ac:dyDescent="0.3">
      <c r="A23" s="40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36</v>
      </c>
    </row>
    <row r="24" spans="1:11" x14ac:dyDescent="0.3">
      <c r="A24" s="40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36</v>
      </c>
    </row>
    <row r="25" spans="1:11" x14ac:dyDescent="0.3">
      <c r="A25" s="40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36</v>
      </c>
    </row>
    <row r="26" spans="1:11" x14ac:dyDescent="0.3">
      <c r="A26" s="40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36</v>
      </c>
    </row>
    <row r="27" spans="1:11" x14ac:dyDescent="0.3">
      <c r="A27" s="40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36</v>
      </c>
    </row>
    <row r="28" spans="1:11" x14ac:dyDescent="0.3">
      <c r="A28" s="40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36</v>
      </c>
    </row>
    <row r="29" spans="1:11" x14ac:dyDescent="0.3">
      <c r="A29" s="40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36</v>
      </c>
    </row>
    <row r="30" spans="1:11" x14ac:dyDescent="0.3">
      <c r="A30" s="40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36</v>
      </c>
    </row>
    <row r="31" spans="1:11" x14ac:dyDescent="0.3">
      <c r="A31" s="40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36</v>
      </c>
    </row>
    <row r="32" spans="1:11" x14ac:dyDescent="0.3">
      <c r="A32" s="40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36</v>
      </c>
    </row>
    <row r="33" spans="1:11" x14ac:dyDescent="0.3">
      <c r="A33" s="40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36</v>
      </c>
    </row>
    <row r="34" spans="1:11" x14ac:dyDescent="0.3">
      <c r="A34" s="40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36</v>
      </c>
    </row>
    <row r="35" spans="1:11" x14ac:dyDescent="0.3">
      <c r="A35" s="40">
        <v>46042</v>
      </c>
      <c r="B35">
        <v>2579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37</v>
      </c>
    </row>
    <row r="36" spans="1:11" x14ac:dyDescent="0.3">
      <c r="A36" s="40">
        <v>46043</v>
      </c>
      <c r="B36">
        <v>2579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37</v>
      </c>
    </row>
    <row r="37" spans="1:11" x14ac:dyDescent="0.3">
      <c r="A37" s="40">
        <v>46044</v>
      </c>
      <c r="B37">
        <v>2579</v>
      </c>
      <c r="C37">
        <v>3570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37</v>
      </c>
    </row>
    <row r="38" spans="1:11" x14ac:dyDescent="0.3">
      <c r="A38" s="40">
        <v>46045</v>
      </c>
      <c r="B38">
        <v>2579</v>
      </c>
      <c r="C38">
        <v>3570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37</v>
      </c>
    </row>
    <row r="39" spans="1:11" x14ac:dyDescent="0.3">
      <c r="A39" s="40">
        <v>46046</v>
      </c>
      <c r="B39">
        <v>2579</v>
      </c>
      <c r="C39">
        <v>3570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40">
        <v>46047</v>
      </c>
      <c r="B40">
        <v>2579</v>
      </c>
      <c r="C40">
        <v>3570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37</v>
      </c>
    </row>
    <row r="41" spans="1:11" x14ac:dyDescent="0.3">
      <c r="A41" s="40">
        <v>46048</v>
      </c>
      <c r="B41">
        <v>2579</v>
      </c>
      <c r="C41">
        <v>3570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37</v>
      </c>
    </row>
    <row r="42" spans="1:11" x14ac:dyDescent="0.3">
      <c r="A42" s="40">
        <v>46049</v>
      </c>
      <c r="B42">
        <v>2579</v>
      </c>
      <c r="C42">
        <v>3570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37</v>
      </c>
    </row>
    <row r="43" spans="1:11" x14ac:dyDescent="0.3">
      <c r="A43" s="40">
        <v>46050</v>
      </c>
      <c r="B43">
        <v>2380</v>
      </c>
      <c r="C43">
        <v>3570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37</v>
      </c>
    </row>
    <row r="44" spans="1:11" x14ac:dyDescent="0.3">
      <c r="A44" s="40">
        <v>46051</v>
      </c>
      <c r="B44">
        <v>2182</v>
      </c>
      <c r="C44">
        <v>3570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37</v>
      </c>
    </row>
    <row r="45" spans="1:11" x14ac:dyDescent="0.3">
      <c r="A45" s="40">
        <v>46052</v>
      </c>
      <c r="B45">
        <v>2182</v>
      </c>
      <c r="C45">
        <v>3570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37</v>
      </c>
    </row>
    <row r="46" spans="1:11" x14ac:dyDescent="0.3">
      <c r="A46" s="40">
        <v>46053</v>
      </c>
      <c r="B46">
        <v>2182</v>
      </c>
      <c r="C46">
        <v>3570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37</v>
      </c>
    </row>
    <row r="47" spans="1:11" x14ac:dyDescent="0.3">
      <c r="A47" s="40">
        <v>46054</v>
      </c>
      <c r="B47">
        <v>1984</v>
      </c>
      <c r="C47">
        <v>3570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37</v>
      </c>
    </row>
    <row r="48" spans="1:11" x14ac:dyDescent="0.3">
      <c r="A48" s="40">
        <v>46055</v>
      </c>
      <c r="B48">
        <v>1984</v>
      </c>
      <c r="C48">
        <v>3570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37</v>
      </c>
    </row>
    <row r="49" spans="1:11" x14ac:dyDescent="0.3">
      <c r="A49" s="40">
        <f>A48+1</f>
        <v>46056</v>
      </c>
      <c r="B49">
        <f>B48</f>
        <v>1984</v>
      </c>
      <c r="C49">
        <f t="shared" ref="C49:K56" si="0">C48</f>
        <v>3570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f t="shared" ref="A50:A56" si="1">A49+1</f>
        <v>46057</v>
      </c>
      <c r="B50">
        <f t="shared" ref="B50:B56" si="2">B49</f>
        <v>1984</v>
      </c>
      <c r="C50">
        <f t="shared" si="0"/>
        <v>3570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f t="shared" si="1"/>
        <v>46058</v>
      </c>
      <c r="B51">
        <f t="shared" si="2"/>
        <v>1984</v>
      </c>
      <c r="C51">
        <f t="shared" si="0"/>
        <v>3570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f t="shared" si="1"/>
        <v>46059</v>
      </c>
      <c r="B52">
        <f t="shared" si="2"/>
        <v>1984</v>
      </c>
      <c r="C52">
        <f t="shared" si="0"/>
        <v>3570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f t="shared" si="1"/>
        <v>46060</v>
      </c>
      <c r="B53">
        <f t="shared" si="2"/>
        <v>1984</v>
      </c>
      <c r="C53">
        <f t="shared" si="0"/>
        <v>3570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f t="shared" si="1"/>
        <v>46061</v>
      </c>
      <c r="B54">
        <f t="shared" si="2"/>
        <v>1984</v>
      </c>
      <c r="C54">
        <f t="shared" si="0"/>
        <v>3570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f t="shared" si="1"/>
        <v>46062</v>
      </c>
      <c r="B55">
        <f t="shared" si="2"/>
        <v>1984</v>
      </c>
      <c r="C55">
        <f t="shared" si="0"/>
        <v>3570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f t="shared" si="1"/>
        <v>46063</v>
      </c>
      <c r="B56">
        <f t="shared" si="2"/>
        <v>1984</v>
      </c>
      <c r="C56">
        <f t="shared" si="0"/>
        <v>3570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6"/>
  <sheetViews>
    <sheetView topLeftCell="A34" zoomScale="120" zoomScaleNormal="120" workbookViewId="0">
      <selection activeCell="C68" sqref="C68"/>
    </sheetView>
  </sheetViews>
  <sheetFormatPr defaultRowHeight="14.4" x14ac:dyDescent="0.3"/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36</v>
      </c>
    </row>
    <row r="5" spans="1:13" x14ac:dyDescent="0.3">
      <c r="A5" s="40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36</v>
      </c>
    </row>
    <row r="6" spans="1:13" x14ac:dyDescent="0.3">
      <c r="A6" s="40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36</v>
      </c>
    </row>
    <row r="7" spans="1:13" x14ac:dyDescent="0.3">
      <c r="A7" s="40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36</v>
      </c>
    </row>
    <row r="8" spans="1:13" x14ac:dyDescent="0.3">
      <c r="A8" s="40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36</v>
      </c>
    </row>
    <row r="9" spans="1:13" x14ac:dyDescent="0.3">
      <c r="A9" s="40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36</v>
      </c>
    </row>
    <row r="10" spans="1:13" x14ac:dyDescent="0.3">
      <c r="A10" s="40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36</v>
      </c>
    </row>
    <row r="11" spans="1:13" x14ac:dyDescent="0.3">
      <c r="A11" s="40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36</v>
      </c>
    </row>
    <row r="12" spans="1:13" x14ac:dyDescent="0.3">
      <c r="A12" s="40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36</v>
      </c>
    </row>
    <row r="13" spans="1:13" x14ac:dyDescent="0.3">
      <c r="A13" s="40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36</v>
      </c>
    </row>
    <row r="14" spans="1:13" x14ac:dyDescent="0.3">
      <c r="A14" s="40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36</v>
      </c>
    </row>
    <row r="15" spans="1:13" x14ac:dyDescent="0.3">
      <c r="A15" s="40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36</v>
      </c>
    </row>
    <row r="16" spans="1:13" x14ac:dyDescent="0.3">
      <c r="A16" s="40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36</v>
      </c>
    </row>
    <row r="17" spans="1:11" x14ac:dyDescent="0.3">
      <c r="A17" s="40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36</v>
      </c>
    </row>
    <row r="18" spans="1:11" x14ac:dyDescent="0.3">
      <c r="A18" s="40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36</v>
      </c>
    </row>
    <row r="19" spans="1:11" x14ac:dyDescent="0.3">
      <c r="A19" s="40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36</v>
      </c>
    </row>
    <row r="20" spans="1:11" x14ac:dyDescent="0.3">
      <c r="A20" s="40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36</v>
      </c>
    </row>
    <row r="21" spans="1:11" x14ac:dyDescent="0.3">
      <c r="A21" s="40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36</v>
      </c>
    </row>
    <row r="22" spans="1:11" x14ac:dyDescent="0.3">
      <c r="A22" s="40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36</v>
      </c>
    </row>
    <row r="23" spans="1:11" x14ac:dyDescent="0.3">
      <c r="A23" s="40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36</v>
      </c>
    </row>
    <row r="24" spans="1:11" x14ac:dyDescent="0.3">
      <c r="A24" s="40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36</v>
      </c>
    </row>
    <row r="25" spans="1:11" x14ac:dyDescent="0.3">
      <c r="A25" s="40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36</v>
      </c>
    </row>
    <row r="26" spans="1:11" x14ac:dyDescent="0.3">
      <c r="A26" s="40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36</v>
      </c>
    </row>
    <row r="27" spans="1:11" x14ac:dyDescent="0.3">
      <c r="A27" s="40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36</v>
      </c>
    </row>
    <row r="28" spans="1:11" x14ac:dyDescent="0.3">
      <c r="A28" s="40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36</v>
      </c>
    </row>
    <row r="29" spans="1:11" x14ac:dyDescent="0.3">
      <c r="A29" s="40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36</v>
      </c>
    </row>
    <row r="30" spans="1:11" x14ac:dyDescent="0.3">
      <c r="A30" s="40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36</v>
      </c>
    </row>
    <row r="31" spans="1:11" x14ac:dyDescent="0.3">
      <c r="A31" s="40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36</v>
      </c>
    </row>
    <row r="32" spans="1:11" x14ac:dyDescent="0.3">
      <c r="A32" s="40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36</v>
      </c>
    </row>
    <row r="33" spans="1:11" x14ac:dyDescent="0.3">
      <c r="A33" s="40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36</v>
      </c>
    </row>
    <row r="34" spans="1:11" x14ac:dyDescent="0.3">
      <c r="A34" s="40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36</v>
      </c>
    </row>
    <row r="35" spans="1:11" x14ac:dyDescent="0.3">
      <c r="A35" s="40">
        <v>46042</v>
      </c>
      <c r="B35">
        <v>4165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37</v>
      </c>
    </row>
    <row r="36" spans="1:11" x14ac:dyDescent="0.3">
      <c r="A36" s="40">
        <v>46043</v>
      </c>
      <c r="B36">
        <v>4165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37</v>
      </c>
    </row>
    <row r="37" spans="1:11" x14ac:dyDescent="0.3">
      <c r="A37" s="40">
        <v>46044</v>
      </c>
      <c r="B37">
        <v>4165</v>
      </c>
      <c r="C37">
        <v>5355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37</v>
      </c>
    </row>
    <row r="38" spans="1:11" x14ac:dyDescent="0.3">
      <c r="A38" s="40">
        <v>46045</v>
      </c>
      <c r="B38">
        <v>4165</v>
      </c>
      <c r="C38">
        <v>5355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37</v>
      </c>
    </row>
    <row r="39" spans="1:11" x14ac:dyDescent="0.3">
      <c r="A39" s="40">
        <v>46046</v>
      </c>
      <c r="B39">
        <v>4165</v>
      </c>
      <c r="C39">
        <v>5355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40">
        <v>46047</v>
      </c>
      <c r="B40">
        <v>4165</v>
      </c>
      <c r="C40">
        <v>5355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37</v>
      </c>
    </row>
    <row r="41" spans="1:11" x14ac:dyDescent="0.3">
      <c r="A41" s="40">
        <v>46048</v>
      </c>
      <c r="B41">
        <v>3967</v>
      </c>
      <c r="C41">
        <v>5355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37</v>
      </c>
    </row>
    <row r="42" spans="1:11" x14ac:dyDescent="0.3">
      <c r="A42" s="40">
        <v>46049</v>
      </c>
      <c r="B42">
        <v>3967</v>
      </c>
      <c r="C42">
        <v>5355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37</v>
      </c>
    </row>
    <row r="43" spans="1:11" x14ac:dyDescent="0.3">
      <c r="A43" s="40">
        <v>46050</v>
      </c>
      <c r="B43">
        <v>3769</v>
      </c>
      <c r="C43">
        <v>5355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37</v>
      </c>
    </row>
    <row r="44" spans="1:11" x14ac:dyDescent="0.3">
      <c r="A44" s="40">
        <v>46051</v>
      </c>
      <c r="B44">
        <v>3769</v>
      </c>
      <c r="C44">
        <v>5355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37</v>
      </c>
    </row>
    <row r="45" spans="1:11" x14ac:dyDescent="0.3">
      <c r="A45" s="40">
        <v>46052</v>
      </c>
      <c r="B45">
        <v>3570</v>
      </c>
      <c r="C45">
        <v>5355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37</v>
      </c>
    </row>
    <row r="46" spans="1:11" x14ac:dyDescent="0.3">
      <c r="A46" s="40">
        <v>46053</v>
      </c>
      <c r="B46">
        <v>3570</v>
      </c>
      <c r="C46">
        <v>5355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37</v>
      </c>
    </row>
    <row r="47" spans="1:11" x14ac:dyDescent="0.3">
      <c r="A47" s="40">
        <v>46054</v>
      </c>
      <c r="B47">
        <v>3570</v>
      </c>
      <c r="C47">
        <v>5355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37</v>
      </c>
    </row>
    <row r="48" spans="1:11" x14ac:dyDescent="0.3">
      <c r="A48" s="40">
        <v>46055</v>
      </c>
      <c r="B48">
        <v>3570</v>
      </c>
      <c r="C48">
        <v>5355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37</v>
      </c>
    </row>
    <row r="49" spans="1:11" x14ac:dyDescent="0.3">
      <c r="A49" s="40">
        <f>A48+1</f>
        <v>46056</v>
      </c>
      <c r="B49">
        <f>B48</f>
        <v>3570</v>
      </c>
      <c r="C49">
        <f t="shared" ref="C49:K56" si="0">C48</f>
        <v>5355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f t="shared" ref="A50:A56" si="1">A49+1</f>
        <v>46057</v>
      </c>
      <c r="B50">
        <f t="shared" ref="B50:B56" si="2">B49</f>
        <v>3570</v>
      </c>
      <c r="C50">
        <f t="shared" si="0"/>
        <v>5355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f t="shared" si="1"/>
        <v>46058</v>
      </c>
      <c r="B51">
        <f t="shared" si="2"/>
        <v>3570</v>
      </c>
      <c r="C51">
        <f t="shared" si="0"/>
        <v>5355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f t="shared" si="1"/>
        <v>46059</v>
      </c>
      <c r="B52">
        <f t="shared" si="2"/>
        <v>3570</v>
      </c>
      <c r="C52">
        <f t="shared" si="0"/>
        <v>5355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f t="shared" si="1"/>
        <v>46060</v>
      </c>
      <c r="B53">
        <f t="shared" si="2"/>
        <v>3570</v>
      </c>
      <c r="C53">
        <f t="shared" si="0"/>
        <v>5355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f t="shared" si="1"/>
        <v>46061</v>
      </c>
      <c r="B54">
        <f t="shared" si="2"/>
        <v>3570</v>
      </c>
      <c r="C54">
        <f t="shared" si="0"/>
        <v>5355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f t="shared" si="1"/>
        <v>46062</v>
      </c>
      <c r="B55">
        <f t="shared" si="2"/>
        <v>3570</v>
      </c>
      <c r="C55">
        <f t="shared" si="0"/>
        <v>5355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f t="shared" si="1"/>
        <v>46063</v>
      </c>
      <c r="B56">
        <f t="shared" si="2"/>
        <v>3570</v>
      </c>
      <c r="C56">
        <f t="shared" si="0"/>
        <v>5355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6"/>
  <sheetViews>
    <sheetView topLeftCell="A34" zoomScale="120" zoomScaleNormal="120" workbookViewId="0">
      <selection activeCell="C56" sqref="C56"/>
    </sheetView>
  </sheetViews>
  <sheetFormatPr defaultRowHeight="14.4" x14ac:dyDescent="0.3"/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36</v>
      </c>
    </row>
    <row r="5" spans="1:13" x14ac:dyDescent="0.3">
      <c r="A5" s="40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36</v>
      </c>
    </row>
    <row r="6" spans="1:13" x14ac:dyDescent="0.3">
      <c r="A6" s="40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36</v>
      </c>
    </row>
    <row r="7" spans="1:13" x14ac:dyDescent="0.3">
      <c r="A7" s="40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36</v>
      </c>
    </row>
    <row r="8" spans="1:13" x14ac:dyDescent="0.3">
      <c r="A8" s="40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36</v>
      </c>
    </row>
    <row r="9" spans="1:13" x14ac:dyDescent="0.3">
      <c r="A9" s="40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36</v>
      </c>
    </row>
    <row r="10" spans="1:13" x14ac:dyDescent="0.3">
      <c r="A10" s="40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36</v>
      </c>
    </row>
    <row r="11" spans="1:13" x14ac:dyDescent="0.3">
      <c r="A11" s="40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36</v>
      </c>
    </row>
    <row r="12" spans="1:13" x14ac:dyDescent="0.3">
      <c r="A12" s="40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36</v>
      </c>
    </row>
    <row r="13" spans="1:13" x14ac:dyDescent="0.3">
      <c r="A13" s="40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36</v>
      </c>
    </row>
    <row r="14" spans="1:13" x14ac:dyDescent="0.3">
      <c r="A14" s="40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36</v>
      </c>
    </row>
    <row r="15" spans="1:13" x14ac:dyDescent="0.3">
      <c r="A15" s="40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36</v>
      </c>
    </row>
    <row r="16" spans="1:13" x14ac:dyDescent="0.3">
      <c r="A16" s="40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36</v>
      </c>
    </row>
    <row r="17" spans="1:11" x14ac:dyDescent="0.3">
      <c r="A17" s="40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36</v>
      </c>
    </row>
    <row r="18" spans="1:11" x14ac:dyDescent="0.3">
      <c r="A18" s="40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36</v>
      </c>
    </row>
    <row r="19" spans="1:11" x14ac:dyDescent="0.3">
      <c r="A19" s="40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36</v>
      </c>
    </row>
    <row r="20" spans="1:11" x14ac:dyDescent="0.3">
      <c r="A20" s="40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36</v>
      </c>
    </row>
    <row r="21" spans="1:11" x14ac:dyDescent="0.3">
      <c r="A21" s="40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36</v>
      </c>
    </row>
    <row r="22" spans="1:11" x14ac:dyDescent="0.3">
      <c r="A22" s="40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36</v>
      </c>
    </row>
    <row r="23" spans="1:11" x14ac:dyDescent="0.3">
      <c r="A23" s="40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36</v>
      </c>
    </row>
    <row r="24" spans="1:11" x14ac:dyDescent="0.3">
      <c r="A24" s="40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36</v>
      </c>
    </row>
    <row r="25" spans="1:11" x14ac:dyDescent="0.3">
      <c r="A25" s="40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36</v>
      </c>
    </row>
    <row r="26" spans="1:11" x14ac:dyDescent="0.3">
      <c r="A26" s="40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36</v>
      </c>
    </row>
    <row r="27" spans="1:11" x14ac:dyDescent="0.3">
      <c r="A27" s="40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36</v>
      </c>
    </row>
    <row r="28" spans="1:11" x14ac:dyDescent="0.3">
      <c r="A28" s="40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36</v>
      </c>
    </row>
    <row r="29" spans="1:11" x14ac:dyDescent="0.3">
      <c r="A29" s="40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36</v>
      </c>
    </row>
    <row r="30" spans="1:11" x14ac:dyDescent="0.3">
      <c r="A30" s="40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36</v>
      </c>
    </row>
    <row r="31" spans="1:11" x14ac:dyDescent="0.3">
      <c r="A31" s="40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36</v>
      </c>
    </row>
    <row r="32" spans="1:11" x14ac:dyDescent="0.3">
      <c r="A32" s="40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36</v>
      </c>
    </row>
    <row r="33" spans="1:11" x14ac:dyDescent="0.3">
      <c r="A33" s="40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36</v>
      </c>
    </row>
    <row r="34" spans="1:11" x14ac:dyDescent="0.3">
      <c r="A34" s="40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36</v>
      </c>
    </row>
    <row r="35" spans="1:11" x14ac:dyDescent="0.3">
      <c r="A35" s="40">
        <v>46042</v>
      </c>
      <c r="B35">
        <v>5752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37</v>
      </c>
    </row>
    <row r="36" spans="1:11" x14ac:dyDescent="0.3">
      <c r="A36" s="40">
        <v>46043</v>
      </c>
      <c r="B36">
        <v>5752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37</v>
      </c>
    </row>
    <row r="37" spans="1:11" x14ac:dyDescent="0.3">
      <c r="A37" s="40">
        <v>46044</v>
      </c>
      <c r="B37">
        <v>5752</v>
      </c>
      <c r="C37">
        <v>6942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37</v>
      </c>
    </row>
    <row r="38" spans="1:11" x14ac:dyDescent="0.3">
      <c r="A38" s="40">
        <v>46045</v>
      </c>
      <c r="B38">
        <v>5752</v>
      </c>
      <c r="C38">
        <v>6942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37</v>
      </c>
    </row>
    <row r="39" spans="1:11" x14ac:dyDescent="0.3">
      <c r="A39" s="40">
        <v>46046</v>
      </c>
      <c r="B39">
        <v>5752</v>
      </c>
      <c r="C39">
        <v>6942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40">
        <v>46047</v>
      </c>
      <c r="B40">
        <v>5752</v>
      </c>
      <c r="C40">
        <v>6942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37</v>
      </c>
    </row>
    <row r="41" spans="1:11" x14ac:dyDescent="0.3">
      <c r="A41" s="40">
        <v>46048</v>
      </c>
      <c r="B41">
        <v>5752</v>
      </c>
      <c r="C41">
        <v>6942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37</v>
      </c>
    </row>
    <row r="42" spans="1:11" x14ac:dyDescent="0.3">
      <c r="A42" s="40">
        <v>46049</v>
      </c>
      <c r="B42">
        <v>5554</v>
      </c>
      <c r="C42">
        <v>6942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37</v>
      </c>
    </row>
    <row r="43" spans="1:11" x14ac:dyDescent="0.3">
      <c r="A43" s="40">
        <v>46050</v>
      </c>
      <c r="B43">
        <v>5554</v>
      </c>
      <c r="C43">
        <v>6942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37</v>
      </c>
    </row>
    <row r="44" spans="1:11" x14ac:dyDescent="0.3">
      <c r="A44" s="40">
        <v>46051</v>
      </c>
      <c r="B44">
        <v>5355</v>
      </c>
      <c r="C44">
        <v>6942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37</v>
      </c>
    </row>
    <row r="45" spans="1:11" x14ac:dyDescent="0.3">
      <c r="A45" s="40">
        <v>46052</v>
      </c>
      <c r="B45">
        <v>5355</v>
      </c>
      <c r="C45">
        <v>6942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37</v>
      </c>
    </row>
    <row r="46" spans="1:11" x14ac:dyDescent="0.3">
      <c r="A46" s="40">
        <v>46053</v>
      </c>
      <c r="B46">
        <v>5157</v>
      </c>
      <c r="C46">
        <v>6942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37</v>
      </c>
    </row>
    <row r="47" spans="1:11" x14ac:dyDescent="0.3">
      <c r="A47" s="40">
        <v>46054</v>
      </c>
      <c r="B47">
        <v>5157</v>
      </c>
      <c r="C47">
        <v>6942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37</v>
      </c>
    </row>
    <row r="48" spans="1:11" x14ac:dyDescent="0.3">
      <c r="A48" s="40">
        <v>46055</v>
      </c>
      <c r="B48">
        <v>5157</v>
      </c>
      <c r="C48">
        <v>6942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37</v>
      </c>
    </row>
    <row r="49" spans="1:11" x14ac:dyDescent="0.3">
      <c r="A49" s="40">
        <f>A48+1</f>
        <v>46056</v>
      </c>
      <c r="B49">
        <f>B48</f>
        <v>5157</v>
      </c>
      <c r="C49">
        <f t="shared" ref="C49:K56" si="0">C48</f>
        <v>6942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f t="shared" ref="A50:A56" si="1">A49+1</f>
        <v>46057</v>
      </c>
      <c r="B50">
        <f t="shared" ref="B50:B56" si="2">B49</f>
        <v>5157</v>
      </c>
      <c r="C50">
        <f t="shared" si="0"/>
        <v>6942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f t="shared" si="1"/>
        <v>46058</v>
      </c>
      <c r="B51">
        <f t="shared" si="2"/>
        <v>5157</v>
      </c>
      <c r="C51">
        <f t="shared" si="0"/>
        <v>6942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f t="shared" si="1"/>
        <v>46059</v>
      </c>
      <c r="B52">
        <f t="shared" si="2"/>
        <v>5157</v>
      </c>
      <c r="C52">
        <f t="shared" si="0"/>
        <v>6942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f t="shared" si="1"/>
        <v>46060</v>
      </c>
      <c r="B53">
        <f t="shared" si="2"/>
        <v>5157</v>
      </c>
      <c r="C53">
        <f t="shared" si="0"/>
        <v>6942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f t="shared" si="1"/>
        <v>46061</v>
      </c>
      <c r="B54">
        <f t="shared" si="2"/>
        <v>5157</v>
      </c>
      <c r="C54">
        <f t="shared" si="0"/>
        <v>6942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f t="shared" si="1"/>
        <v>46062</v>
      </c>
      <c r="B55">
        <f t="shared" si="2"/>
        <v>5157</v>
      </c>
      <c r="C55">
        <f t="shared" si="0"/>
        <v>6942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f t="shared" si="1"/>
        <v>46063</v>
      </c>
      <c r="B56">
        <f t="shared" si="2"/>
        <v>5157</v>
      </c>
      <c r="C56">
        <f t="shared" si="0"/>
        <v>6942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M56"/>
  <sheetViews>
    <sheetView topLeftCell="A40" zoomScale="120" zoomScaleNormal="120" workbookViewId="0">
      <selection activeCell="E67" sqref="E67"/>
    </sheetView>
  </sheetViews>
  <sheetFormatPr defaultRowHeight="14.4" x14ac:dyDescent="0.3"/>
  <cols>
    <col min="1" max="1" width="10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46042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36</v>
      </c>
    </row>
    <row r="5" spans="1:13" x14ac:dyDescent="0.3">
      <c r="A5" s="40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36</v>
      </c>
    </row>
    <row r="6" spans="1:13" x14ac:dyDescent="0.3">
      <c r="A6" s="40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36</v>
      </c>
    </row>
    <row r="7" spans="1:13" x14ac:dyDescent="0.3">
      <c r="A7" s="40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36</v>
      </c>
    </row>
    <row r="8" spans="1:13" x14ac:dyDescent="0.3">
      <c r="A8" s="40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36</v>
      </c>
    </row>
    <row r="9" spans="1:13" x14ac:dyDescent="0.3">
      <c r="A9" s="40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36</v>
      </c>
    </row>
    <row r="10" spans="1:13" x14ac:dyDescent="0.3">
      <c r="A10" s="40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36</v>
      </c>
    </row>
    <row r="11" spans="1:13" x14ac:dyDescent="0.3">
      <c r="A11" s="40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36</v>
      </c>
    </row>
    <row r="12" spans="1:13" x14ac:dyDescent="0.3">
      <c r="A12" s="40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36</v>
      </c>
    </row>
    <row r="13" spans="1:13" x14ac:dyDescent="0.3">
      <c r="A13" s="40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36</v>
      </c>
    </row>
    <row r="14" spans="1:13" x14ac:dyDescent="0.3">
      <c r="A14" s="40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36</v>
      </c>
    </row>
    <row r="15" spans="1:13" x14ac:dyDescent="0.3">
      <c r="A15" s="40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36</v>
      </c>
    </row>
    <row r="16" spans="1:13" x14ac:dyDescent="0.3">
      <c r="A16" s="40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36</v>
      </c>
    </row>
    <row r="17" spans="1:11" x14ac:dyDescent="0.3">
      <c r="A17" s="40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36</v>
      </c>
    </row>
    <row r="18" spans="1:11" x14ac:dyDescent="0.3">
      <c r="A18" s="40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36</v>
      </c>
    </row>
    <row r="19" spans="1:11" x14ac:dyDescent="0.3">
      <c r="A19" s="40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36</v>
      </c>
    </row>
    <row r="20" spans="1:11" x14ac:dyDescent="0.3">
      <c r="A20" s="40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36</v>
      </c>
    </row>
    <row r="21" spans="1:11" x14ac:dyDescent="0.3">
      <c r="A21" s="40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36</v>
      </c>
    </row>
    <row r="22" spans="1:11" x14ac:dyDescent="0.3">
      <c r="A22" s="40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36</v>
      </c>
    </row>
    <row r="23" spans="1:11" x14ac:dyDescent="0.3">
      <c r="A23" s="40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36</v>
      </c>
    </row>
    <row r="24" spans="1:11" x14ac:dyDescent="0.3">
      <c r="A24" s="40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36</v>
      </c>
    </row>
    <row r="25" spans="1:11" x14ac:dyDescent="0.3">
      <c r="A25" s="40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36</v>
      </c>
    </row>
    <row r="26" spans="1:11" x14ac:dyDescent="0.3">
      <c r="A26" s="40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36</v>
      </c>
    </row>
    <row r="27" spans="1:11" x14ac:dyDescent="0.3">
      <c r="A27" s="40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36</v>
      </c>
    </row>
    <row r="28" spans="1:11" x14ac:dyDescent="0.3">
      <c r="A28" s="40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36</v>
      </c>
    </row>
    <row r="29" spans="1:11" x14ac:dyDescent="0.3">
      <c r="A29" s="40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36</v>
      </c>
    </row>
    <row r="30" spans="1:11" x14ac:dyDescent="0.3">
      <c r="A30" s="40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36</v>
      </c>
    </row>
    <row r="31" spans="1:11" x14ac:dyDescent="0.3">
      <c r="A31" s="40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36</v>
      </c>
    </row>
    <row r="32" spans="1:11" x14ac:dyDescent="0.3">
      <c r="A32" s="40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36</v>
      </c>
    </row>
    <row r="33" spans="1:11" x14ac:dyDescent="0.3">
      <c r="A33" s="40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36</v>
      </c>
    </row>
    <row r="34" spans="1:11" x14ac:dyDescent="0.3">
      <c r="A34" s="40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36</v>
      </c>
    </row>
    <row r="35" spans="1:11" x14ac:dyDescent="0.3">
      <c r="A35" s="40">
        <v>46042</v>
      </c>
      <c r="B35">
        <v>7141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37</v>
      </c>
    </row>
    <row r="36" spans="1:11" x14ac:dyDescent="0.3">
      <c r="A36" s="40">
        <v>46043</v>
      </c>
      <c r="B36">
        <v>7141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37</v>
      </c>
    </row>
    <row r="37" spans="1:11" x14ac:dyDescent="0.3">
      <c r="A37" s="40">
        <v>46044</v>
      </c>
      <c r="B37">
        <v>7141</v>
      </c>
      <c r="C37">
        <v>8331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37</v>
      </c>
    </row>
    <row r="38" spans="1:11" x14ac:dyDescent="0.3">
      <c r="A38" s="40">
        <v>46045</v>
      </c>
      <c r="B38">
        <v>7141</v>
      </c>
      <c r="C38">
        <v>8331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37</v>
      </c>
    </row>
    <row r="39" spans="1:11" x14ac:dyDescent="0.3">
      <c r="A39" s="40">
        <v>46046</v>
      </c>
      <c r="B39">
        <v>7141</v>
      </c>
      <c r="C39">
        <v>8331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37</v>
      </c>
    </row>
    <row r="40" spans="1:11" x14ac:dyDescent="0.3">
      <c r="A40" s="40">
        <v>46047</v>
      </c>
      <c r="B40">
        <v>7141</v>
      </c>
      <c r="C40">
        <v>8331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37</v>
      </c>
    </row>
    <row r="41" spans="1:11" x14ac:dyDescent="0.3">
      <c r="A41" s="40">
        <v>46048</v>
      </c>
      <c r="B41">
        <v>6942</v>
      </c>
      <c r="C41">
        <v>8331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37</v>
      </c>
    </row>
    <row r="42" spans="1:11" x14ac:dyDescent="0.3">
      <c r="A42" s="40">
        <v>46049</v>
      </c>
      <c r="B42">
        <v>6942</v>
      </c>
      <c r="C42">
        <v>8331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37</v>
      </c>
    </row>
    <row r="43" spans="1:11" x14ac:dyDescent="0.3">
      <c r="A43" s="40">
        <v>46050</v>
      </c>
      <c r="B43">
        <v>6942</v>
      </c>
      <c r="C43">
        <v>8331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37</v>
      </c>
    </row>
    <row r="44" spans="1:11" x14ac:dyDescent="0.3">
      <c r="A44" s="40">
        <v>46051</v>
      </c>
      <c r="B44">
        <v>6744</v>
      </c>
      <c r="C44">
        <v>8331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37</v>
      </c>
    </row>
    <row r="45" spans="1:11" x14ac:dyDescent="0.3">
      <c r="A45" s="40">
        <v>46052</v>
      </c>
      <c r="B45">
        <v>6744</v>
      </c>
      <c r="C45">
        <v>8331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37</v>
      </c>
    </row>
    <row r="46" spans="1:11" x14ac:dyDescent="0.3">
      <c r="A46" s="40">
        <v>46053</v>
      </c>
      <c r="B46">
        <v>6546</v>
      </c>
      <c r="C46">
        <v>8331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37</v>
      </c>
    </row>
    <row r="47" spans="1:11" x14ac:dyDescent="0.3">
      <c r="A47" s="40">
        <v>46054</v>
      </c>
      <c r="B47">
        <v>6546</v>
      </c>
      <c r="C47">
        <v>8331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37</v>
      </c>
    </row>
    <row r="48" spans="1:11" x14ac:dyDescent="0.3">
      <c r="A48" s="40">
        <v>46055</v>
      </c>
      <c r="B48">
        <v>6546</v>
      </c>
      <c r="C48">
        <v>8331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37</v>
      </c>
    </row>
    <row r="49" spans="1:11" x14ac:dyDescent="0.3">
      <c r="A49" s="40">
        <f>A48+1</f>
        <v>46056</v>
      </c>
      <c r="B49">
        <f>B48</f>
        <v>6546</v>
      </c>
      <c r="C49">
        <f t="shared" ref="C49:K56" si="0">C48</f>
        <v>8331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f t="shared" ref="A50:A56" si="1">A49+1</f>
        <v>46057</v>
      </c>
      <c r="B50">
        <f t="shared" ref="B50:B56" si="2">B49</f>
        <v>6546</v>
      </c>
      <c r="C50">
        <f t="shared" si="0"/>
        <v>8331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f t="shared" si="1"/>
        <v>46058</v>
      </c>
      <c r="B51">
        <f t="shared" si="2"/>
        <v>6546</v>
      </c>
      <c r="C51">
        <f t="shared" si="0"/>
        <v>8331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f t="shared" si="1"/>
        <v>46059</v>
      </c>
      <c r="B52">
        <f t="shared" si="2"/>
        <v>6546</v>
      </c>
      <c r="C52">
        <f t="shared" si="0"/>
        <v>8331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f t="shared" si="1"/>
        <v>46060</v>
      </c>
      <c r="B53">
        <f t="shared" si="2"/>
        <v>6546</v>
      </c>
      <c r="C53">
        <f t="shared" si="0"/>
        <v>8331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f t="shared" si="1"/>
        <v>46061</v>
      </c>
      <c r="B54">
        <f t="shared" si="2"/>
        <v>6546</v>
      </c>
      <c r="C54">
        <f t="shared" si="0"/>
        <v>8331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f t="shared" si="1"/>
        <v>46062</v>
      </c>
      <c r="B55">
        <f t="shared" si="2"/>
        <v>6546</v>
      </c>
      <c r="C55">
        <f t="shared" si="0"/>
        <v>8331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f t="shared" si="1"/>
        <v>46063</v>
      </c>
      <c r="B56">
        <f t="shared" si="2"/>
        <v>6546</v>
      </c>
      <c r="C56">
        <f t="shared" si="0"/>
        <v>8331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plot_example</vt:lpstr>
      <vt:lpstr>01_12_OMRI-2000</vt:lpstr>
      <vt:lpstr>01_12_OMRI -3500</vt:lpstr>
      <vt:lpstr>01_20_OMRI -5000</vt:lpstr>
      <vt:lpstr>01_20_OMRI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2026-02-03T20:19:06Z</dcterms:modified>
</cp:coreProperties>
</file>